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wmf" ContentType="image/x-wmf"/>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809" codeName="{FF626003-D37A-9D15-2B65-D2D8C0A508C5}"/>
  <workbookPr codeName="ThisWorkbook"/>
  <mc:AlternateContent xmlns:mc="http://schemas.openxmlformats.org/markup-compatibility/2006">
    <mc:Choice Requires="x15">
      <x15ac:absPath xmlns:x15ac="http://schemas.microsoft.com/office/spreadsheetml/2010/11/ac" url="/Users/shipatel/Google Drive/Shivani/All Projects/Excel VBA Petroleum Applications/"/>
    </mc:Choice>
  </mc:AlternateContent>
  <bookViews>
    <workbookView xWindow="0" yWindow="460" windowWidth="28800" windowHeight="16500" tabRatio="500"/>
  </bookViews>
  <sheets>
    <sheet name="Harmonic" sheetId="1" r:id="rId1"/>
  </sheets>
  <definedNames>
    <definedName name="di">Harmonic!$D$5</definedName>
    <definedName name="qavg">Harmonic!$G$5</definedName>
    <definedName name="qi">Harmonic!$E$5</definedName>
    <definedName name="Rsquare">Harmonic!$F$5</definedName>
    <definedName name="solver_adj" localSheetId="0" hidden="1">Harmonic!$D$5:$E$5</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100</definedName>
    <definedName name="solver_lhs1" localSheetId="0" hidden="1">Harmonic!$F$5</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0</definedName>
    <definedName name="solver_nwt" localSheetId="0" hidden="1">1</definedName>
    <definedName name="solver_opt" localSheetId="0" hidden="1">Harmonic!$F$5</definedName>
    <definedName name="solver_pre" localSheetId="0" hidden="1">0.000001</definedName>
    <definedName name="solver_rbv" localSheetId="0" hidden="1">1</definedName>
    <definedName name="solver_rel1" localSheetId="0" hidden="1">3</definedName>
    <definedName name="solver_rhs1" localSheetId="0" hidden="1">0.00001</definedName>
    <definedName name="solver_rlx" localSheetId="0" hidden="1">1</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100</definedName>
    <definedName name="solver_tol" localSheetId="0" hidden="1">0.05</definedName>
    <definedName name="solver_typ" localSheetId="0" hidden="1">3</definedName>
    <definedName name="solver_val" localSheetId="0" hidden="1">1</definedName>
    <definedName name="solver_ver" localSheetId="0" hidden="1">3</definedName>
    <definedName name="SSE">Harmonic!$H$5</definedName>
    <definedName name="SST">Harmonic!$I$5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332" i="1" l="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3" i="1"/>
  <c r="D334" i="1"/>
  <c r="D335" i="1"/>
  <c r="D336" i="1"/>
  <c r="D337" i="1"/>
  <c r="D338" i="1"/>
  <c r="D339" i="1"/>
  <c r="D340" i="1"/>
  <c r="D341" i="1"/>
  <c r="D342" i="1"/>
  <c r="D343" i="1"/>
  <c r="D344" i="1"/>
  <c r="D345" i="1"/>
  <c r="D346" i="1"/>
  <c r="D347" i="1"/>
  <c r="G5"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I5"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E278" i="1"/>
  <c r="F278" i="1"/>
  <c r="E279" i="1"/>
  <c r="F279" i="1"/>
  <c r="E280" i="1"/>
  <c r="F280" i="1"/>
  <c r="E281" i="1"/>
  <c r="F281" i="1"/>
  <c r="E282" i="1"/>
  <c r="F282" i="1"/>
  <c r="E283" i="1"/>
  <c r="F283" i="1"/>
  <c r="E284" i="1"/>
  <c r="F284" i="1"/>
  <c r="E285" i="1"/>
  <c r="F285" i="1"/>
  <c r="E286" i="1"/>
  <c r="F286" i="1"/>
  <c r="E287" i="1"/>
  <c r="F287" i="1"/>
  <c r="E288" i="1"/>
  <c r="F288" i="1"/>
  <c r="E289" i="1"/>
  <c r="F289" i="1"/>
  <c r="E290" i="1"/>
  <c r="F290" i="1"/>
  <c r="E291" i="1"/>
  <c r="F291" i="1"/>
  <c r="E292" i="1"/>
  <c r="F292" i="1"/>
  <c r="E293" i="1"/>
  <c r="F293" i="1"/>
  <c r="E294" i="1"/>
  <c r="F294" i="1"/>
  <c r="E295" i="1"/>
  <c r="F295" i="1"/>
  <c r="E296" i="1"/>
  <c r="F296" i="1"/>
  <c r="E297" i="1"/>
  <c r="F297" i="1"/>
  <c r="E298" i="1"/>
  <c r="F298" i="1"/>
  <c r="E299" i="1"/>
  <c r="F299" i="1"/>
  <c r="E300" i="1"/>
  <c r="F300" i="1"/>
  <c r="E301" i="1"/>
  <c r="F301" i="1"/>
  <c r="E302" i="1"/>
  <c r="F302" i="1"/>
  <c r="E303" i="1"/>
  <c r="F303" i="1"/>
  <c r="E304" i="1"/>
  <c r="F304" i="1"/>
  <c r="E305" i="1"/>
  <c r="F305" i="1"/>
  <c r="E306" i="1"/>
  <c r="F306" i="1"/>
  <c r="E307" i="1"/>
  <c r="F307" i="1"/>
  <c r="E308" i="1"/>
  <c r="F308" i="1"/>
  <c r="E309" i="1"/>
  <c r="F309" i="1"/>
  <c r="E310" i="1"/>
  <c r="F310" i="1"/>
  <c r="E311" i="1"/>
  <c r="F311" i="1"/>
  <c r="E312" i="1"/>
  <c r="F312" i="1"/>
  <c r="E313" i="1"/>
  <c r="F313" i="1"/>
  <c r="E314" i="1"/>
  <c r="F314" i="1"/>
  <c r="E315" i="1"/>
  <c r="F315" i="1"/>
  <c r="E316" i="1"/>
  <c r="F316" i="1"/>
  <c r="E317" i="1"/>
  <c r="F317" i="1"/>
  <c r="E318" i="1"/>
  <c r="F318" i="1"/>
  <c r="E319" i="1"/>
  <c r="F319" i="1"/>
  <c r="E320" i="1"/>
  <c r="F320" i="1"/>
  <c r="E321" i="1"/>
  <c r="F321" i="1"/>
  <c r="E322" i="1"/>
  <c r="F322" i="1"/>
  <c r="E323" i="1"/>
  <c r="F323" i="1"/>
  <c r="E324" i="1"/>
  <c r="F324" i="1"/>
  <c r="E325" i="1"/>
  <c r="F325" i="1"/>
  <c r="E326" i="1"/>
  <c r="F326" i="1"/>
  <c r="E327" i="1"/>
  <c r="F327" i="1"/>
  <c r="E328" i="1"/>
  <c r="F328" i="1"/>
  <c r="E329" i="1"/>
  <c r="F329" i="1"/>
  <c r="E330" i="1"/>
  <c r="F330" i="1"/>
  <c r="E331" i="1"/>
  <c r="F331" i="1"/>
  <c r="E332" i="1"/>
  <c r="F332" i="1"/>
  <c r="E333" i="1"/>
  <c r="F333" i="1"/>
  <c r="E334" i="1"/>
  <c r="F334" i="1"/>
  <c r="E335" i="1"/>
  <c r="F335" i="1"/>
  <c r="E336" i="1"/>
  <c r="F336" i="1"/>
  <c r="E337" i="1"/>
  <c r="F337" i="1"/>
  <c r="E338" i="1"/>
  <c r="F338" i="1"/>
  <c r="E339" i="1"/>
  <c r="F339" i="1"/>
  <c r="E340" i="1"/>
  <c r="F340" i="1"/>
  <c r="E341" i="1"/>
  <c r="F341" i="1"/>
  <c r="E342" i="1"/>
  <c r="F342" i="1"/>
  <c r="E343" i="1"/>
  <c r="F343" i="1"/>
  <c r="E344" i="1"/>
  <c r="F344" i="1"/>
  <c r="E345" i="1"/>
  <c r="F345" i="1"/>
  <c r="E346" i="1"/>
  <c r="F346" i="1"/>
  <c r="E347" i="1"/>
  <c r="F347" i="1"/>
  <c r="D16" i="1"/>
  <c r="G16" i="1"/>
  <c r="D17" i="1"/>
  <c r="G17" i="1"/>
  <c r="D18" i="1"/>
  <c r="G18" i="1"/>
  <c r="D19" i="1"/>
  <c r="G19" i="1"/>
  <c r="D20" i="1"/>
  <c r="G20" i="1"/>
  <c r="D21" i="1"/>
  <c r="G21" i="1"/>
  <c r="D22" i="1"/>
  <c r="G22" i="1"/>
  <c r="D23" i="1"/>
  <c r="G23" i="1"/>
  <c r="D24" i="1"/>
  <c r="G24" i="1"/>
  <c r="D348" i="1"/>
  <c r="G348" i="1"/>
  <c r="D349" i="1"/>
  <c r="G349" i="1"/>
  <c r="D350" i="1"/>
  <c r="G350" i="1"/>
  <c r="D351" i="1"/>
  <c r="G351" i="1"/>
  <c r="D352" i="1"/>
  <c r="G352" i="1"/>
  <c r="D353" i="1"/>
  <c r="G353" i="1"/>
  <c r="D354" i="1"/>
  <c r="G354" i="1"/>
  <c r="D355" i="1"/>
  <c r="G355" i="1"/>
  <c r="D356" i="1"/>
  <c r="G356" i="1"/>
  <c r="D357" i="1"/>
  <c r="G357" i="1"/>
  <c r="D358" i="1"/>
  <c r="G358" i="1"/>
  <c r="D359" i="1"/>
  <c r="G359" i="1"/>
  <c r="D360" i="1"/>
  <c r="G360" i="1"/>
  <c r="D361" i="1"/>
  <c r="G361" i="1"/>
  <c r="D362" i="1"/>
  <c r="G362" i="1"/>
  <c r="D363" i="1"/>
  <c r="G363" i="1"/>
  <c r="D364" i="1"/>
  <c r="G364" i="1"/>
  <c r="D365" i="1"/>
  <c r="G365" i="1"/>
  <c r="D366" i="1"/>
  <c r="G366" i="1"/>
  <c r="D367" i="1"/>
  <c r="G367" i="1"/>
  <c r="D368" i="1"/>
  <c r="G368" i="1"/>
  <c r="D369" i="1"/>
  <c r="G369" i="1"/>
  <c r="D370" i="1"/>
  <c r="G370" i="1"/>
  <c r="D371" i="1"/>
  <c r="G371" i="1"/>
  <c r="D372" i="1"/>
  <c r="G372" i="1"/>
  <c r="D373" i="1"/>
  <c r="G373" i="1"/>
  <c r="D374" i="1"/>
  <c r="G374" i="1"/>
  <c r="D375" i="1"/>
  <c r="G375" i="1"/>
  <c r="D376" i="1"/>
  <c r="G376" i="1"/>
  <c r="D377" i="1"/>
  <c r="G377" i="1"/>
  <c r="D378" i="1"/>
  <c r="G378" i="1"/>
  <c r="D379" i="1"/>
  <c r="G379" i="1"/>
  <c r="D380" i="1"/>
  <c r="G380" i="1"/>
  <c r="D381" i="1"/>
  <c r="G381" i="1"/>
  <c r="D382" i="1"/>
  <c r="G382" i="1"/>
  <c r="D383" i="1"/>
  <c r="G383" i="1"/>
  <c r="D384" i="1"/>
  <c r="G384" i="1"/>
  <c r="D385" i="1"/>
  <c r="G385" i="1"/>
  <c r="D386" i="1"/>
  <c r="G386" i="1"/>
  <c r="D387" i="1"/>
  <c r="G387" i="1"/>
  <c r="D388" i="1"/>
  <c r="G388" i="1"/>
  <c r="D389" i="1"/>
  <c r="G389" i="1"/>
  <c r="D390" i="1"/>
  <c r="G390" i="1"/>
  <c r="D391" i="1"/>
  <c r="G391" i="1"/>
  <c r="D392" i="1"/>
  <c r="G392" i="1"/>
  <c r="D393" i="1"/>
  <c r="G393" i="1"/>
  <c r="D394" i="1"/>
  <c r="G394" i="1"/>
  <c r="D395" i="1"/>
  <c r="G395" i="1"/>
  <c r="D396" i="1"/>
  <c r="G396" i="1"/>
  <c r="D397" i="1"/>
  <c r="G397" i="1"/>
  <c r="D398" i="1"/>
  <c r="G398" i="1"/>
  <c r="D399" i="1"/>
  <c r="G399" i="1"/>
  <c r="D400" i="1"/>
  <c r="G400" i="1"/>
  <c r="D401" i="1"/>
  <c r="G401" i="1"/>
  <c r="D402" i="1"/>
  <c r="G402" i="1"/>
  <c r="D403" i="1"/>
  <c r="G403" i="1"/>
  <c r="D404" i="1"/>
  <c r="G404" i="1"/>
  <c r="D405" i="1"/>
  <c r="G405" i="1"/>
  <c r="D406" i="1"/>
  <c r="G406" i="1"/>
  <c r="D407" i="1"/>
  <c r="G407" i="1"/>
  <c r="D408" i="1"/>
  <c r="G408" i="1"/>
  <c r="D409" i="1"/>
  <c r="G409" i="1"/>
  <c r="D410" i="1"/>
  <c r="G410" i="1"/>
  <c r="D411" i="1"/>
  <c r="G411" i="1"/>
  <c r="D412" i="1"/>
  <c r="G412" i="1"/>
  <c r="D413" i="1"/>
  <c r="G413" i="1"/>
  <c r="D414" i="1"/>
  <c r="G414" i="1"/>
  <c r="D415" i="1"/>
  <c r="G415" i="1"/>
  <c r="D416" i="1"/>
  <c r="G416" i="1"/>
  <c r="D417" i="1"/>
  <c r="G417" i="1"/>
  <c r="D418" i="1"/>
  <c r="G418" i="1"/>
  <c r="D419" i="1"/>
  <c r="G419" i="1"/>
  <c r="D420" i="1"/>
  <c r="G420" i="1"/>
  <c r="D421" i="1"/>
  <c r="G421" i="1"/>
  <c r="D422" i="1"/>
  <c r="G422" i="1"/>
  <c r="D423" i="1"/>
  <c r="G423" i="1"/>
  <c r="D424" i="1"/>
  <c r="G424" i="1"/>
  <c r="D425" i="1"/>
  <c r="G425" i="1"/>
  <c r="D426" i="1"/>
  <c r="G426" i="1"/>
  <c r="D427" i="1"/>
  <c r="G427" i="1"/>
  <c r="D428" i="1"/>
  <c r="G428" i="1"/>
  <c r="D429" i="1"/>
  <c r="G429" i="1"/>
  <c r="D430" i="1"/>
  <c r="G430" i="1"/>
  <c r="D431" i="1"/>
  <c r="G431" i="1"/>
  <c r="D432" i="1"/>
  <c r="G432" i="1"/>
  <c r="D433" i="1"/>
  <c r="G433" i="1"/>
  <c r="D434" i="1"/>
  <c r="G434" i="1"/>
  <c r="D435" i="1"/>
  <c r="G435" i="1"/>
  <c r="D436" i="1"/>
  <c r="G436" i="1"/>
  <c r="D437" i="1"/>
  <c r="G437" i="1"/>
  <c r="D438" i="1"/>
  <c r="G438" i="1"/>
  <c r="D439" i="1"/>
  <c r="G439" i="1"/>
  <c r="D440" i="1"/>
  <c r="G440" i="1"/>
  <c r="D441" i="1"/>
  <c r="G441" i="1"/>
  <c r="D442" i="1"/>
  <c r="G442" i="1"/>
  <c r="D443" i="1"/>
  <c r="G443" i="1"/>
  <c r="D444" i="1"/>
  <c r="G444" i="1"/>
  <c r="D445" i="1"/>
  <c r="G445" i="1"/>
  <c r="D446" i="1"/>
  <c r="G446" i="1"/>
  <c r="D447" i="1"/>
  <c r="G447" i="1"/>
  <c r="D448" i="1"/>
  <c r="G448" i="1"/>
  <c r="D449" i="1"/>
  <c r="G449" i="1"/>
  <c r="D450" i="1"/>
  <c r="G450" i="1"/>
  <c r="D451" i="1"/>
  <c r="G451" i="1"/>
  <c r="D452" i="1"/>
  <c r="G452" i="1"/>
  <c r="D453" i="1"/>
  <c r="G453" i="1"/>
  <c r="D454" i="1"/>
  <c r="G454" i="1"/>
  <c r="D455" i="1"/>
  <c r="G455" i="1"/>
  <c r="D456" i="1"/>
  <c r="G456" i="1"/>
  <c r="D457" i="1"/>
  <c r="G457" i="1"/>
  <c r="D458" i="1"/>
  <c r="G458" i="1"/>
  <c r="D459" i="1"/>
  <c r="G459" i="1"/>
  <c r="D460" i="1"/>
  <c r="G460" i="1"/>
  <c r="D461" i="1"/>
  <c r="G461" i="1"/>
  <c r="D462" i="1"/>
  <c r="G462" i="1"/>
  <c r="D463" i="1"/>
  <c r="G463" i="1"/>
  <c r="D464" i="1"/>
  <c r="G464" i="1"/>
  <c r="D465" i="1"/>
  <c r="G465" i="1"/>
  <c r="D466" i="1"/>
  <c r="G466" i="1"/>
  <c r="D467" i="1"/>
  <c r="G467" i="1"/>
  <c r="D468" i="1"/>
  <c r="G468" i="1"/>
  <c r="D469" i="1"/>
  <c r="G469" i="1"/>
  <c r="D470" i="1"/>
  <c r="G470" i="1"/>
  <c r="D471" i="1"/>
  <c r="G471" i="1"/>
  <c r="D472" i="1"/>
  <c r="G472" i="1"/>
  <c r="D473" i="1"/>
  <c r="G473" i="1"/>
  <c r="D474" i="1"/>
  <c r="G474" i="1"/>
  <c r="D475" i="1"/>
  <c r="G475" i="1"/>
  <c r="D476" i="1"/>
  <c r="G476" i="1"/>
  <c r="D477" i="1"/>
  <c r="G477" i="1"/>
  <c r="D478" i="1"/>
  <c r="G478" i="1"/>
  <c r="D479" i="1"/>
  <c r="G479" i="1"/>
  <c r="D480" i="1"/>
  <c r="G480" i="1"/>
  <c r="D481" i="1"/>
  <c r="G481" i="1"/>
  <c r="D482" i="1"/>
  <c r="G482" i="1"/>
  <c r="D483" i="1"/>
  <c r="G483" i="1"/>
  <c r="D484" i="1"/>
  <c r="G484" i="1"/>
  <c r="D485" i="1"/>
  <c r="G485" i="1"/>
  <c r="D486" i="1"/>
  <c r="G486" i="1"/>
  <c r="D487" i="1"/>
  <c r="G487" i="1"/>
  <c r="D488" i="1"/>
  <c r="G488" i="1"/>
  <c r="D489" i="1"/>
  <c r="G489" i="1"/>
  <c r="D490" i="1"/>
  <c r="G490" i="1"/>
  <c r="D491" i="1"/>
  <c r="G491" i="1"/>
  <c r="D492" i="1"/>
  <c r="G492" i="1"/>
  <c r="D493" i="1"/>
  <c r="G493" i="1"/>
  <c r="D494" i="1"/>
  <c r="G494" i="1"/>
  <c r="D495" i="1"/>
  <c r="G495" i="1"/>
  <c r="D496" i="1"/>
  <c r="G496" i="1"/>
  <c r="D497" i="1"/>
  <c r="G497" i="1"/>
  <c r="D498" i="1"/>
  <c r="G498" i="1"/>
  <c r="D499" i="1"/>
  <c r="G499" i="1"/>
  <c r="D500" i="1"/>
  <c r="G500" i="1"/>
  <c r="D501" i="1"/>
  <c r="G501" i="1"/>
  <c r="D502" i="1"/>
  <c r="G502" i="1"/>
  <c r="D503" i="1"/>
  <c r="G503" i="1"/>
  <c r="D504" i="1"/>
  <c r="G504" i="1"/>
  <c r="D505" i="1"/>
  <c r="G505" i="1"/>
  <c r="D506" i="1"/>
  <c r="G506" i="1"/>
  <c r="D507" i="1"/>
  <c r="G507" i="1"/>
  <c r="D508" i="1"/>
  <c r="G508" i="1"/>
  <c r="D509" i="1"/>
  <c r="G509" i="1"/>
  <c r="D510" i="1"/>
  <c r="G510" i="1"/>
  <c r="D511" i="1"/>
  <c r="G511" i="1"/>
  <c r="D512" i="1"/>
  <c r="G512" i="1"/>
  <c r="D513" i="1"/>
  <c r="G513" i="1"/>
  <c r="D514" i="1"/>
  <c r="G514" i="1"/>
  <c r="D515" i="1"/>
  <c r="G515" i="1"/>
  <c r="D516" i="1"/>
  <c r="G516" i="1"/>
  <c r="D517" i="1"/>
  <c r="G517" i="1"/>
  <c r="D518" i="1"/>
  <c r="G518" i="1"/>
  <c r="D519" i="1"/>
  <c r="G519" i="1"/>
  <c r="D520" i="1"/>
  <c r="G520" i="1"/>
  <c r="D521" i="1"/>
  <c r="G521" i="1"/>
  <c r="D522" i="1"/>
  <c r="G522" i="1"/>
  <c r="D523" i="1"/>
  <c r="G523" i="1"/>
  <c r="D524" i="1"/>
  <c r="G524" i="1"/>
  <c r="D525" i="1"/>
  <c r="G525" i="1"/>
  <c r="D526" i="1"/>
  <c r="G526" i="1"/>
  <c r="D527" i="1"/>
  <c r="G527" i="1"/>
  <c r="D528" i="1"/>
  <c r="G528" i="1"/>
  <c r="D529" i="1"/>
  <c r="G529" i="1"/>
  <c r="D530" i="1"/>
  <c r="G530" i="1"/>
  <c r="D531" i="1"/>
  <c r="G531" i="1"/>
  <c r="D532" i="1"/>
  <c r="G532" i="1"/>
  <c r="D533" i="1"/>
  <c r="G533" i="1"/>
  <c r="D534" i="1"/>
  <c r="G534" i="1"/>
  <c r="D535" i="1"/>
  <c r="G535" i="1"/>
  <c r="D536" i="1"/>
  <c r="G536" i="1"/>
  <c r="D537" i="1"/>
  <c r="G537" i="1"/>
  <c r="D538" i="1"/>
  <c r="G538" i="1"/>
  <c r="D539" i="1"/>
  <c r="G539" i="1"/>
  <c r="D540" i="1"/>
  <c r="G540" i="1"/>
  <c r="D541" i="1"/>
  <c r="G541" i="1"/>
  <c r="D542" i="1"/>
  <c r="G542" i="1"/>
  <c r="D543" i="1"/>
  <c r="G543" i="1"/>
  <c r="D544" i="1"/>
  <c r="G544" i="1"/>
  <c r="D545" i="1"/>
  <c r="G545" i="1"/>
  <c r="D546" i="1"/>
  <c r="G546" i="1"/>
  <c r="D547" i="1"/>
  <c r="G547" i="1"/>
  <c r="D548" i="1"/>
  <c r="G548" i="1"/>
  <c r="D549" i="1"/>
  <c r="G549" i="1"/>
  <c r="D550" i="1"/>
  <c r="G550" i="1"/>
  <c r="D551" i="1"/>
  <c r="G551" i="1"/>
  <c r="D552" i="1"/>
  <c r="G552" i="1"/>
  <c r="D553" i="1"/>
  <c r="G553" i="1"/>
  <c r="D554" i="1"/>
  <c r="G554" i="1"/>
  <c r="D555" i="1"/>
  <c r="G555" i="1"/>
  <c r="D556" i="1"/>
  <c r="G556" i="1"/>
  <c r="D557" i="1"/>
  <c r="G557" i="1"/>
  <c r="D558" i="1"/>
  <c r="G558" i="1"/>
  <c r="D559" i="1"/>
  <c r="G559" i="1"/>
  <c r="D560" i="1"/>
  <c r="G560" i="1"/>
  <c r="D561" i="1"/>
  <c r="G561" i="1"/>
  <c r="D562" i="1"/>
  <c r="G562" i="1"/>
  <c r="D563" i="1"/>
  <c r="G563" i="1"/>
  <c r="D564" i="1"/>
  <c r="G564" i="1"/>
  <c r="D565" i="1"/>
  <c r="G565" i="1"/>
  <c r="D566" i="1"/>
  <c r="G566" i="1"/>
  <c r="D567" i="1"/>
  <c r="G567" i="1"/>
  <c r="D568" i="1"/>
  <c r="G568" i="1"/>
  <c r="D569" i="1"/>
  <c r="G569" i="1"/>
  <c r="D570" i="1"/>
  <c r="G570" i="1"/>
  <c r="D571" i="1"/>
  <c r="G571" i="1"/>
  <c r="D572" i="1"/>
  <c r="G572" i="1"/>
  <c r="D573" i="1"/>
  <c r="G573" i="1"/>
  <c r="D574" i="1"/>
  <c r="G574" i="1"/>
  <c r="D575" i="1"/>
  <c r="G575" i="1"/>
  <c r="D576" i="1"/>
  <c r="G576" i="1"/>
  <c r="D577" i="1"/>
  <c r="G577" i="1"/>
  <c r="D578" i="1"/>
  <c r="G578" i="1"/>
  <c r="D579" i="1"/>
  <c r="G579" i="1"/>
  <c r="D580" i="1"/>
  <c r="G580" i="1"/>
  <c r="D581" i="1"/>
  <c r="G581" i="1"/>
  <c r="D582" i="1"/>
  <c r="G582" i="1"/>
  <c r="D583" i="1"/>
  <c r="G583" i="1"/>
  <c r="D584" i="1"/>
  <c r="G584" i="1"/>
  <c r="D585" i="1"/>
  <c r="G585" i="1"/>
  <c r="D586" i="1"/>
  <c r="G586" i="1"/>
  <c r="D587" i="1"/>
  <c r="G587" i="1"/>
  <c r="D588" i="1"/>
  <c r="G588" i="1"/>
  <c r="D589" i="1"/>
  <c r="G589" i="1"/>
  <c r="D590" i="1"/>
  <c r="G590" i="1"/>
  <c r="D591" i="1"/>
  <c r="G591" i="1"/>
  <c r="D592" i="1"/>
  <c r="G592" i="1"/>
  <c r="D593" i="1"/>
  <c r="G593" i="1"/>
  <c r="D594" i="1"/>
  <c r="G594" i="1"/>
  <c r="D595" i="1"/>
  <c r="G595" i="1"/>
  <c r="D596" i="1"/>
  <c r="G596" i="1"/>
  <c r="D597" i="1"/>
  <c r="G597" i="1"/>
  <c r="D598" i="1"/>
  <c r="G598" i="1"/>
  <c r="D599" i="1"/>
  <c r="G599" i="1"/>
  <c r="D600" i="1"/>
  <c r="G600" i="1"/>
  <c r="D601" i="1"/>
  <c r="G601" i="1"/>
  <c r="D602" i="1"/>
  <c r="G602" i="1"/>
  <c r="D603" i="1"/>
  <c r="G603" i="1"/>
  <c r="D604" i="1"/>
  <c r="G604" i="1"/>
  <c r="D605" i="1"/>
  <c r="G605" i="1"/>
  <c r="D606" i="1"/>
  <c r="G606" i="1"/>
  <c r="D607" i="1"/>
  <c r="G607" i="1"/>
  <c r="D608" i="1"/>
  <c r="G608" i="1"/>
  <c r="D609" i="1"/>
  <c r="G609" i="1"/>
  <c r="D610" i="1"/>
  <c r="G610" i="1"/>
  <c r="D611" i="1"/>
  <c r="G611" i="1"/>
  <c r="D612" i="1"/>
  <c r="G612" i="1"/>
  <c r="D613" i="1"/>
  <c r="G613" i="1"/>
  <c r="D614" i="1"/>
  <c r="G614" i="1"/>
  <c r="D615" i="1"/>
  <c r="G615" i="1"/>
  <c r="D616" i="1"/>
  <c r="G616" i="1"/>
  <c r="D617" i="1"/>
  <c r="G617" i="1"/>
  <c r="D618" i="1"/>
  <c r="G618" i="1"/>
  <c r="D619" i="1"/>
  <c r="G619" i="1"/>
  <c r="D620" i="1"/>
  <c r="G620" i="1"/>
  <c r="D621" i="1"/>
  <c r="G621" i="1"/>
  <c r="D622" i="1"/>
  <c r="G622" i="1"/>
  <c r="D623" i="1"/>
  <c r="G623" i="1"/>
  <c r="D624" i="1"/>
  <c r="G624" i="1"/>
  <c r="D625" i="1"/>
  <c r="G625" i="1"/>
  <c r="D626" i="1"/>
  <c r="G626" i="1"/>
  <c r="D627" i="1"/>
  <c r="G627" i="1"/>
  <c r="D628" i="1"/>
  <c r="G628" i="1"/>
  <c r="D629" i="1"/>
  <c r="G629" i="1"/>
  <c r="D630" i="1"/>
  <c r="G630" i="1"/>
  <c r="D631" i="1"/>
  <c r="G631" i="1"/>
  <c r="D632" i="1"/>
  <c r="G632" i="1"/>
  <c r="D633" i="1"/>
  <c r="G633" i="1"/>
  <c r="D634" i="1"/>
  <c r="G634" i="1"/>
  <c r="D635" i="1"/>
  <c r="G635" i="1"/>
  <c r="D636" i="1"/>
  <c r="G636" i="1"/>
  <c r="D637" i="1"/>
  <c r="G637" i="1"/>
  <c r="D638" i="1"/>
  <c r="G638" i="1"/>
  <c r="D639" i="1"/>
  <c r="G639" i="1"/>
  <c r="D13" i="1"/>
  <c r="G13" i="1"/>
  <c r="D14" i="1"/>
  <c r="G14" i="1"/>
  <c r="D15" i="1"/>
  <c r="G15" i="1"/>
  <c r="G12" i="1"/>
  <c r="E13" i="1"/>
  <c r="F13" i="1"/>
  <c r="E14" i="1"/>
  <c r="F14" i="1"/>
  <c r="E15" i="1"/>
  <c r="F15" i="1"/>
  <c r="E16" i="1"/>
  <c r="F16" i="1"/>
  <c r="E17" i="1"/>
  <c r="F17" i="1"/>
  <c r="E18" i="1"/>
  <c r="F18" i="1"/>
  <c r="E19" i="1"/>
  <c r="F19" i="1"/>
  <c r="E20" i="1"/>
  <c r="F20" i="1"/>
  <c r="E21" i="1"/>
  <c r="F21" i="1"/>
  <c r="E22" i="1"/>
  <c r="F22" i="1"/>
  <c r="E23" i="1"/>
  <c r="F23" i="1"/>
  <c r="E24" i="1"/>
  <c r="F24" i="1"/>
  <c r="E348" i="1"/>
  <c r="F348" i="1"/>
  <c r="E349" i="1"/>
  <c r="F349" i="1"/>
  <c r="E350" i="1"/>
  <c r="F350" i="1"/>
  <c r="E351" i="1"/>
  <c r="F351" i="1"/>
  <c r="E352" i="1"/>
  <c r="F352" i="1"/>
  <c r="E353" i="1"/>
  <c r="F353" i="1"/>
  <c r="E354" i="1"/>
  <c r="F354" i="1"/>
  <c r="E355" i="1"/>
  <c r="F355" i="1"/>
  <c r="E356" i="1"/>
  <c r="F356" i="1"/>
  <c r="E357" i="1"/>
  <c r="F357" i="1"/>
  <c r="E358" i="1"/>
  <c r="F358" i="1"/>
  <c r="E359" i="1"/>
  <c r="F359" i="1"/>
  <c r="E360" i="1"/>
  <c r="F360" i="1"/>
  <c r="E361" i="1"/>
  <c r="F361" i="1"/>
  <c r="E362" i="1"/>
  <c r="F362" i="1"/>
  <c r="E363" i="1"/>
  <c r="F363" i="1"/>
  <c r="E364" i="1"/>
  <c r="F364" i="1"/>
  <c r="E365" i="1"/>
  <c r="F365" i="1"/>
  <c r="E366" i="1"/>
  <c r="F366" i="1"/>
  <c r="E367" i="1"/>
  <c r="F367" i="1"/>
  <c r="E368" i="1"/>
  <c r="F368" i="1"/>
  <c r="E369" i="1"/>
  <c r="F369" i="1"/>
  <c r="E370" i="1"/>
  <c r="F370" i="1"/>
  <c r="E371" i="1"/>
  <c r="F371" i="1"/>
  <c r="E372" i="1"/>
  <c r="F372" i="1"/>
  <c r="E373" i="1"/>
  <c r="F373" i="1"/>
  <c r="E374" i="1"/>
  <c r="F374" i="1"/>
  <c r="E375" i="1"/>
  <c r="F375" i="1"/>
  <c r="E376" i="1"/>
  <c r="F376" i="1"/>
  <c r="E377" i="1"/>
  <c r="F377" i="1"/>
  <c r="E378" i="1"/>
  <c r="F378" i="1"/>
  <c r="E379" i="1"/>
  <c r="F379" i="1"/>
  <c r="E380" i="1"/>
  <c r="F380" i="1"/>
  <c r="E381" i="1"/>
  <c r="F381" i="1"/>
  <c r="E382" i="1"/>
  <c r="F382" i="1"/>
  <c r="E383" i="1"/>
  <c r="F383" i="1"/>
  <c r="E384" i="1"/>
  <c r="F384" i="1"/>
  <c r="E385" i="1"/>
  <c r="F385" i="1"/>
  <c r="E386" i="1"/>
  <c r="F386" i="1"/>
  <c r="E387" i="1"/>
  <c r="F387" i="1"/>
  <c r="E388" i="1"/>
  <c r="F388" i="1"/>
  <c r="E389" i="1"/>
  <c r="F389" i="1"/>
  <c r="E390" i="1"/>
  <c r="F390" i="1"/>
  <c r="E391" i="1"/>
  <c r="F391" i="1"/>
  <c r="E392" i="1"/>
  <c r="F392" i="1"/>
  <c r="E393" i="1"/>
  <c r="F393" i="1"/>
  <c r="E394" i="1"/>
  <c r="F394" i="1"/>
  <c r="E395" i="1"/>
  <c r="F395" i="1"/>
  <c r="E396" i="1"/>
  <c r="F396" i="1"/>
  <c r="E397" i="1"/>
  <c r="F397" i="1"/>
  <c r="E398" i="1"/>
  <c r="F398" i="1"/>
  <c r="E399" i="1"/>
  <c r="F399" i="1"/>
  <c r="E400" i="1"/>
  <c r="F400" i="1"/>
  <c r="E401" i="1"/>
  <c r="F401" i="1"/>
  <c r="E402" i="1"/>
  <c r="F402" i="1"/>
  <c r="E403" i="1"/>
  <c r="F403" i="1"/>
  <c r="E404" i="1"/>
  <c r="F404" i="1"/>
  <c r="E405" i="1"/>
  <c r="F405" i="1"/>
  <c r="E406" i="1"/>
  <c r="F406" i="1"/>
  <c r="E407" i="1"/>
  <c r="F407" i="1"/>
  <c r="E408" i="1"/>
  <c r="F408" i="1"/>
  <c r="E409" i="1"/>
  <c r="F409" i="1"/>
  <c r="E410" i="1"/>
  <c r="F410" i="1"/>
  <c r="E411" i="1"/>
  <c r="F411" i="1"/>
  <c r="E412" i="1"/>
  <c r="F412" i="1"/>
  <c r="E413" i="1"/>
  <c r="F413" i="1"/>
  <c r="E414" i="1"/>
  <c r="F414" i="1"/>
  <c r="E415" i="1"/>
  <c r="F415" i="1"/>
  <c r="E416" i="1"/>
  <c r="F416" i="1"/>
  <c r="E417" i="1"/>
  <c r="F417" i="1"/>
  <c r="E418" i="1"/>
  <c r="F418" i="1"/>
  <c r="E419" i="1"/>
  <c r="F419" i="1"/>
  <c r="E420" i="1"/>
  <c r="F420" i="1"/>
  <c r="E421" i="1"/>
  <c r="F421" i="1"/>
  <c r="E422" i="1"/>
  <c r="F422" i="1"/>
  <c r="E423" i="1"/>
  <c r="F423" i="1"/>
  <c r="E424" i="1"/>
  <c r="F424" i="1"/>
  <c r="E425" i="1"/>
  <c r="F425" i="1"/>
  <c r="E426" i="1"/>
  <c r="F426" i="1"/>
  <c r="E427" i="1"/>
  <c r="F427" i="1"/>
  <c r="E428" i="1"/>
  <c r="F428" i="1"/>
  <c r="E429" i="1"/>
  <c r="F429" i="1"/>
  <c r="E430" i="1"/>
  <c r="F430" i="1"/>
  <c r="E431" i="1"/>
  <c r="F431" i="1"/>
  <c r="E432" i="1"/>
  <c r="F432" i="1"/>
  <c r="E433" i="1"/>
  <c r="F433" i="1"/>
  <c r="E434" i="1"/>
  <c r="F434" i="1"/>
  <c r="E435" i="1"/>
  <c r="F435" i="1"/>
  <c r="E436" i="1"/>
  <c r="F436" i="1"/>
  <c r="E437" i="1"/>
  <c r="F437" i="1"/>
  <c r="E438" i="1"/>
  <c r="F438" i="1"/>
  <c r="E439" i="1"/>
  <c r="F439" i="1"/>
  <c r="E440" i="1"/>
  <c r="F440" i="1"/>
  <c r="E441" i="1"/>
  <c r="F441" i="1"/>
  <c r="E442" i="1"/>
  <c r="F442" i="1"/>
  <c r="E443" i="1"/>
  <c r="F443" i="1"/>
  <c r="E444" i="1"/>
  <c r="F444" i="1"/>
  <c r="E445" i="1"/>
  <c r="F445" i="1"/>
  <c r="E446" i="1"/>
  <c r="F446" i="1"/>
  <c r="E447" i="1"/>
  <c r="F447" i="1"/>
  <c r="E448" i="1"/>
  <c r="F448" i="1"/>
  <c r="E449" i="1"/>
  <c r="F449" i="1"/>
  <c r="E450" i="1"/>
  <c r="F450" i="1"/>
  <c r="E451" i="1"/>
  <c r="F451" i="1"/>
  <c r="E452" i="1"/>
  <c r="F452" i="1"/>
  <c r="E453" i="1"/>
  <c r="F453" i="1"/>
  <c r="E454" i="1"/>
  <c r="F454" i="1"/>
  <c r="E455" i="1"/>
  <c r="F455" i="1"/>
  <c r="E456" i="1"/>
  <c r="F456" i="1"/>
  <c r="E457" i="1"/>
  <c r="F457" i="1"/>
  <c r="E458" i="1"/>
  <c r="F458" i="1"/>
  <c r="E459" i="1"/>
  <c r="F459" i="1"/>
  <c r="E460" i="1"/>
  <c r="F460" i="1"/>
  <c r="E461" i="1"/>
  <c r="F461" i="1"/>
  <c r="E462" i="1"/>
  <c r="F462" i="1"/>
  <c r="E463" i="1"/>
  <c r="F463" i="1"/>
  <c r="E464" i="1"/>
  <c r="F464" i="1"/>
  <c r="E465" i="1"/>
  <c r="F465" i="1"/>
  <c r="E466" i="1"/>
  <c r="F466" i="1"/>
  <c r="E467" i="1"/>
  <c r="F467" i="1"/>
  <c r="E468" i="1"/>
  <c r="F468" i="1"/>
  <c r="E469" i="1"/>
  <c r="F469" i="1"/>
  <c r="E470" i="1"/>
  <c r="F470" i="1"/>
  <c r="E471" i="1"/>
  <c r="F471" i="1"/>
  <c r="E472" i="1"/>
  <c r="F472" i="1"/>
  <c r="E473" i="1"/>
  <c r="F473" i="1"/>
  <c r="E474" i="1"/>
  <c r="F474" i="1"/>
  <c r="E475" i="1"/>
  <c r="F475" i="1"/>
  <c r="E476" i="1"/>
  <c r="F476" i="1"/>
  <c r="E477" i="1"/>
  <c r="F477" i="1"/>
  <c r="E478" i="1"/>
  <c r="F478" i="1"/>
  <c r="E479" i="1"/>
  <c r="F479" i="1"/>
  <c r="E480" i="1"/>
  <c r="F480" i="1"/>
  <c r="E481" i="1"/>
  <c r="F481" i="1"/>
  <c r="E482" i="1"/>
  <c r="F482" i="1"/>
  <c r="E483" i="1"/>
  <c r="F483" i="1"/>
  <c r="E484" i="1"/>
  <c r="F484" i="1"/>
  <c r="E485" i="1"/>
  <c r="F485" i="1"/>
  <c r="E486" i="1"/>
  <c r="F486" i="1"/>
  <c r="E487" i="1"/>
  <c r="F487" i="1"/>
  <c r="E488" i="1"/>
  <c r="F488" i="1"/>
  <c r="E489" i="1"/>
  <c r="F489" i="1"/>
  <c r="E490" i="1"/>
  <c r="F490" i="1"/>
  <c r="E491" i="1"/>
  <c r="F491" i="1"/>
  <c r="E492" i="1"/>
  <c r="F492" i="1"/>
  <c r="E493" i="1"/>
  <c r="F493" i="1"/>
  <c r="E494" i="1"/>
  <c r="F494" i="1"/>
  <c r="E495" i="1"/>
  <c r="F495" i="1"/>
  <c r="E496" i="1"/>
  <c r="F496" i="1"/>
  <c r="E497" i="1"/>
  <c r="F497" i="1"/>
  <c r="E498" i="1"/>
  <c r="F498" i="1"/>
  <c r="E499" i="1"/>
  <c r="F499" i="1"/>
  <c r="E500" i="1"/>
  <c r="F500" i="1"/>
  <c r="E501" i="1"/>
  <c r="F501" i="1"/>
  <c r="E502" i="1"/>
  <c r="F502" i="1"/>
  <c r="E503" i="1"/>
  <c r="F503" i="1"/>
  <c r="E504" i="1"/>
  <c r="F504" i="1"/>
  <c r="E505" i="1"/>
  <c r="F505" i="1"/>
  <c r="E506" i="1"/>
  <c r="F506" i="1"/>
  <c r="E507" i="1"/>
  <c r="F507" i="1"/>
  <c r="E508" i="1"/>
  <c r="F508" i="1"/>
  <c r="E509" i="1"/>
  <c r="F509" i="1"/>
  <c r="E510" i="1"/>
  <c r="F510" i="1"/>
  <c r="E511" i="1"/>
  <c r="F511" i="1"/>
  <c r="E512" i="1"/>
  <c r="F512" i="1"/>
  <c r="E513" i="1"/>
  <c r="F513" i="1"/>
  <c r="E514" i="1"/>
  <c r="F514" i="1"/>
  <c r="E515" i="1"/>
  <c r="F515" i="1"/>
  <c r="E516" i="1"/>
  <c r="F516" i="1"/>
  <c r="E517" i="1"/>
  <c r="F517" i="1"/>
  <c r="E518" i="1"/>
  <c r="F518" i="1"/>
  <c r="E519" i="1"/>
  <c r="F519" i="1"/>
  <c r="E520" i="1"/>
  <c r="F520" i="1"/>
  <c r="E521" i="1"/>
  <c r="F521" i="1"/>
  <c r="E522" i="1"/>
  <c r="F522" i="1"/>
  <c r="E523" i="1"/>
  <c r="F523" i="1"/>
  <c r="E524" i="1"/>
  <c r="F524" i="1"/>
  <c r="E525" i="1"/>
  <c r="F525" i="1"/>
  <c r="E526" i="1"/>
  <c r="F526" i="1"/>
  <c r="E527" i="1"/>
  <c r="F527" i="1"/>
  <c r="E528" i="1"/>
  <c r="F528" i="1"/>
  <c r="E529" i="1"/>
  <c r="F529" i="1"/>
  <c r="E530" i="1"/>
  <c r="F530" i="1"/>
  <c r="E531" i="1"/>
  <c r="F531" i="1"/>
  <c r="E532" i="1"/>
  <c r="F532" i="1"/>
  <c r="E533" i="1"/>
  <c r="F533" i="1"/>
  <c r="E534" i="1"/>
  <c r="F534" i="1"/>
  <c r="E535" i="1"/>
  <c r="F535" i="1"/>
  <c r="E536" i="1"/>
  <c r="F536" i="1"/>
  <c r="E537" i="1"/>
  <c r="F537" i="1"/>
  <c r="E538" i="1"/>
  <c r="F538" i="1"/>
  <c r="E539" i="1"/>
  <c r="F539" i="1"/>
  <c r="E540" i="1"/>
  <c r="F540" i="1"/>
  <c r="E541" i="1"/>
  <c r="F541" i="1"/>
  <c r="E542" i="1"/>
  <c r="F542" i="1"/>
  <c r="E543" i="1"/>
  <c r="F543" i="1"/>
  <c r="E544" i="1"/>
  <c r="F544" i="1"/>
  <c r="E545" i="1"/>
  <c r="F545" i="1"/>
  <c r="E546" i="1"/>
  <c r="F546" i="1"/>
  <c r="E547" i="1"/>
  <c r="F547" i="1"/>
  <c r="E548" i="1"/>
  <c r="F548" i="1"/>
  <c r="E549" i="1"/>
  <c r="F549" i="1"/>
  <c r="E550" i="1"/>
  <c r="F550" i="1"/>
  <c r="E551" i="1"/>
  <c r="F551" i="1"/>
  <c r="E552" i="1"/>
  <c r="F552" i="1"/>
  <c r="E553" i="1"/>
  <c r="F553" i="1"/>
  <c r="E554" i="1"/>
  <c r="F554" i="1"/>
  <c r="E555" i="1"/>
  <c r="F555" i="1"/>
  <c r="E556" i="1"/>
  <c r="F556" i="1"/>
  <c r="E557" i="1"/>
  <c r="F557" i="1"/>
  <c r="E558" i="1"/>
  <c r="F558" i="1"/>
  <c r="E559" i="1"/>
  <c r="F559" i="1"/>
  <c r="E560" i="1"/>
  <c r="F560" i="1"/>
  <c r="E561" i="1"/>
  <c r="F561" i="1"/>
  <c r="E562" i="1"/>
  <c r="F562" i="1"/>
  <c r="E563" i="1"/>
  <c r="F563" i="1"/>
  <c r="E564" i="1"/>
  <c r="F564" i="1"/>
  <c r="E565" i="1"/>
  <c r="F565" i="1"/>
  <c r="E566" i="1"/>
  <c r="F566" i="1"/>
  <c r="E567" i="1"/>
  <c r="F567" i="1"/>
  <c r="E568" i="1"/>
  <c r="F568" i="1"/>
  <c r="E569" i="1"/>
  <c r="F569" i="1"/>
  <c r="E570" i="1"/>
  <c r="F570" i="1"/>
  <c r="E571" i="1"/>
  <c r="F571" i="1"/>
  <c r="E572" i="1"/>
  <c r="F572" i="1"/>
  <c r="E573" i="1"/>
  <c r="F573" i="1"/>
  <c r="E574" i="1"/>
  <c r="F574" i="1"/>
  <c r="E575" i="1"/>
  <c r="F575" i="1"/>
  <c r="E576" i="1"/>
  <c r="F576" i="1"/>
  <c r="E577" i="1"/>
  <c r="F577" i="1"/>
  <c r="E578" i="1"/>
  <c r="F578" i="1"/>
  <c r="E579" i="1"/>
  <c r="F579" i="1"/>
  <c r="E580" i="1"/>
  <c r="F580" i="1"/>
  <c r="E581" i="1"/>
  <c r="F581" i="1"/>
  <c r="E582" i="1"/>
  <c r="F582" i="1"/>
  <c r="E583" i="1"/>
  <c r="F583" i="1"/>
  <c r="E584" i="1"/>
  <c r="F584" i="1"/>
  <c r="E585" i="1"/>
  <c r="F585" i="1"/>
  <c r="E586" i="1"/>
  <c r="F586" i="1"/>
  <c r="E587" i="1"/>
  <c r="F587" i="1"/>
  <c r="E588" i="1"/>
  <c r="F588" i="1"/>
  <c r="E589" i="1"/>
  <c r="F589" i="1"/>
  <c r="E590" i="1"/>
  <c r="F590" i="1"/>
  <c r="E591" i="1"/>
  <c r="F591" i="1"/>
  <c r="E592" i="1"/>
  <c r="F592" i="1"/>
  <c r="E593" i="1"/>
  <c r="F593" i="1"/>
  <c r="E594" i="1"/>
  <c r="F594" i="1"/>
  <c r="E595" i="1"/>
  <c r="F595" i="1"/>
  <c r="E596" i="1"/>
  <c r="F596" i="1"/>
  <c r="E597" i="1"/>
  <c r="F597" i="1"/>
  <c r="E598" i="1"/>
  <c r="F598" i="1"/>
  <c r="E599" i="1"/>
  <c r="F599" i="1"/>
  <c r="E600" i="1"/>
  <c r="F600" i="1"/>
  <c r="E601" i="1"/>
  <c r="F601" i="1"/>
  <c r="E602" i="1"/>
  <c r="F602" i="1"/>
  <c r="E603" i="1"/>
  <c r="F603" i="1"/>
  <c r="E604" i="1"/>
  <c r="F604" i="1"/>
  <c r="E605" i="1"/>
  <c r="F605" i="1"/>
  <c r="E606" i="1"/>
  <c r="F606" i="1"/>
  <c r="E607" i="1"/>
  <c r="F607" i="1"/>
  <c r="E608" i="1"/>
  <c r="F608" i="1"/>
  <c r="E609" i="1"/>
  <c r="F609" i="1"/>
  <c r="E610" i="1"/>
  <c r="F610" i="1"/>
  <c r="E611" i="1"/>
  <c r="F611" i="1"/>
  <c r="E612" i="1"/>
  <c r="F612" i="1"/>
  <c r="E613" i="1"/>
  <c r="F613" i="1"/>
  <c r="E614" i="1"/>
  <c r="F614" i="1"/>
  <c r="E615" i="1"/>
  <c r="F615" i="1"/>
  <c r="E616" i="1"/>
  <c r="F616" i="1"/>
  <c r="E617" i="1"/>
  <c r="F617" i="1"/>
  <c r="E618" i="1"/>
  <c r="F618" i="1"/>
  <c r="E619" i="1"/>
  <c r="F619" i="1"/>
  <c r="E620" i="1"/>
  <c r="F620" i="1"/>
  <c r="E621" i="1"/>
  <c r="F621" i="1"/>
  <c r="E622" i="1"/>
  <c r="F622" i="1"/>
  <c r="E623" i="1"/>
  <c r="F623" i="1"/>
  <c r="E624" i="1"/>
  <c r="F624" i="1"/>
  <c r="E625" i="1"/>
  <c r="F625" i="1"/>
  <c r="E626" i="1"/>
  <c r="F626" i="1"/>
  <c r="E627" i="1"/>
  <c r="F627" i="1"/>
  <c r="E628" i="1"/>
  <c r="F628" i="1"/>
  <c r="E629" i="1"/>
  <c r="F629" i="1"/>
  <c r="E630" i="1"/>
  <c r="F630" i="1"/>
  <c r="E631" i="1"/>
  <c r="F631" i="1"/>
  <c r="E632" i="1"/>
  <c r="F632" i="1"/>
  <c r="E633" i="1"/>
  <c r="F633" i="1"/>
  <c r="E634" i="1"/>
  <c r="F634" i="1"/>
  <c r="E635" i="1"/>
  <c r="F635" i="1"/>
  <c r="E636" i="1"/>
  <c r="F636" i="1"/>
  <c r="E637" i="1"/>
  <c r="F637" i="1"/>
  <c r="E638" i="1"/>
  <c r="F638" i="1"/>
  <c r="E639" i="1"/>
  <c r="F639" i="1"/>
  <c r="E12" i="1"/>
  <c r="F12" i="1"/>
  <c r="H5" i="1"/>
  <c r="F5" i="1"/>
</calcChain>
</file>

<file path=xl/sharedStrings.xml><?xml version="1.0" encoding="utf-8"?>
<sst xmlns="http://schemas.openxmlformats.org/spreadsheetml/2006/main" count="30" uniqueCount="30">
  <si>
    <t>Harmonic Decline Curve Spreadsheet</t>
  </si>
  <si>
    <r>
      <t>R = (1 - S</t>
    </r>
    <r>
      <rPr>
        <b/>
        <vertAlign val="subscript"/>
        <sz val="10"/>
        <color theme="1"/>
        <rFont val="Arial"/>
        <family val="2"/>
      </rPr>
      <t>SE</t>
    </r>
    <r>
      <rPr>
        <b/>
        <sz val="10"/>
        <color theme="1"/>
        <rFont val="Arial"/>
        <family val="2"/>
      </rPr>
      <t>/S</t>
    </r>
    <r>
      <rPr>
        <b/>
        <vertAlign val="subscript"/>
        <sz val="10"/>
        <color theme="1"/>
        <rFont val="Arial"/>
        <family val="2"/>
      </rPr>
      <t>ST</t>
    </r>
    <r>
      <rPr>
        <b/>
        <sz val="10"/>
        <color theme="1"/>
        <rFont val="Arial"/>
        <family val="2"/>
      </rPr>
      <t>)</t>
    </r>
  </si>
  <si>
    <t>Square of Regression Coeff, R</t>
  </si>
  <si>
    <t>Average of Rates in Fit Range</t>
  </si>
  <si>
    <t>Sum of Squares 
of Fit Error</t>
  </si>
  <si>
    <t>Sum of Squares 
of (Rate - Avg Rate)</t>
  </si>
  <si>
    <t>n</t>
  </si>
  <si>
    <r>
      <t>d</t>
    </r>
    <r>
      <rPr>
        <b/>
        <vertAlign val="subscript"/>
        <sz val="12"/>
        <color theme="1"/>
        <rFont val="Calibri"/>
        <family val="2"/>
        <scheme val="minor"/>
      </rPr>
      <t>i</t>
    </r>
  </si>
  <si>
    <r>
      <t>q</t>
    </r>
    <r>
      <rPr>
        <b/>
        <vertAlign val="subscript"/>
        <sz val="12"/>
        <color theme="1"/>
        <rFont val="Calibri"/>
        <family val="2"/>
        <scheme val="minor"/>
      </rPr>
      <t>i</t>
    </r>
  </si>
  <si>
    <r>
      <t>R</t>
    </r>
    <r>
      <rPr>
        <b/>
        <vertAlign val="superscript"/>
        <sz val="12"/>
        <color theme="1"/>
        <rFont val="Calibri"/>
        <family val="2"/>
        <scheme val="minor"/>
      </rPr>
      <t>2</t>
    </r>
  </si>
  <si>
    <r>
      <t>q</t>
    </r>
    <r>
      <rPr>
        <b/>
        <vertAlign val="subscript"/>
        <sz val="12"/>
        <color theme="1"/>
        <rFont val="Calibri"/>
        <family val="2"/>
        <scheme val="minor"/>
      </rPr>
      <t>avg</t>
    </r>
  </si>
  <si>
    <r>
      <t>S</t>
    </r>
    <r>
      <rPr>
        <b/>
        <vertAlign val="subscript"/>
        <sz val="12"/>
        <color theme="1"/>
        <rFont val="Calibri"/>
        <family val="2"/>
        <scheme val="minor"/>
      </rPr>
      <t>SE</t>
    </r>
  </si>
  <si>
    <r>
      <t>S</t>
    </r>
    <r>
      <rPr>
        <b/>
        <vertAlign val="subscript"/>
        <sz val="12"/>
        <color theme="1"/>
        <rFont val="Calibri"/>
        <family val="2"/>
        <scheme val="minor"/>
      </rPr>
      <t>ST</t>
    </r>
  </si>
  <si>
    <t>Actual Month (Time)</t>
  </si>
  <si>
    <t>Actual Rate</t>
  </si>
  <si>
    <t>Start time and t values for curve fit</t>
  </si>
  <si>
    <t>Rates to be fitted  (from Col D)</t>
  </si>
  <si>
    <t>Fitted Rates</t>
  </si>
  <si>
    <t>Square of Fit Error</t>
  </si>
  <si>
    <t>Square of 
(Rate - Avg Rate)</t>
  </si>
  <si>
    <t>Month</t>
  </si>
  <si>
    <r>
      <t>q</t>
    </r>
    <r>
      <rPr>
        <b/>
        <vertAlign val="subscript"/>
        <sz val="12"/>
        <color theme="1"/>
        <rFont val="Calibri"/>
        <family val="2"/>
        <scheme val="minor"/>
      </rPr>
      <t>t</t>
    </r>
    <r>
      <rPr>
        <b/>
        <sz val="12"/>
        <color theme="1"/>
        <rFont val="Calibri"/>
        <family val="2"/>
        <scheme val="minor"/>
      </rPr>
      <t xml:space="preserve">  (STB/month)</t>
    </r>
  </si>
  <si>
    <t>t</t>
  </si>
  <si>
    <r>
      <t>q</t>
    </r>
    <r>
      <rPr>
        <b/>
        <vertAlign val="subscript"/>
        <sz val="12"/>
        <color theme="1"/>
        <rFont val="Calibri"/>
        <family val="2"/>
        <scheme val="minor"/>
      </rPr>
      <t>t</t>
    </r>
  </si>
  <si>
    <r>
      <t>q</t>
    </r>
    <r>
      <rPr>
        <b/>
        <vertAlign val="subscript"/>
        <sz val="12"/>
        <color theme="1"/>
        <rFont val="Calibri"/>
        <family val="2"/>
        <scheme val="minor"/>
      </rPr>
      <t>fit</t>
    </r>
  </si>
  <si>
    <r>
      <t>(q</t>
    </r>
    <r>
      <rPr>
        <b/>
        <vertAlign val="subscript"/>
        <sz val="12"/>
        <color theme="1"/>
        <rFont val="Calibri"/>
        <family val="2"/>
        <scheme val="minor"/>
      </rPr>
      <t>t</t>
    </r>
    <r>
      <rPr>
        <b/>
        <sz val="12"/>
        <color theme="1"/>
        <rFont val="Calibri"/>
        <family val="2"/>
        <scheme val="minor"/>
      </rPr>
      <t xml:space="preserve"> -q</t>
    </r>
    <r>
      <rPr>
        <b/>
        <vertAlign val="subscript"/>
        <sz val="12"/>
        <color theme="1"/>
        <rFont val="Calibri"/>
        <family val="2"/>
        <scheme val="minor"/>
      </rPr>
      <t>fit</t>
    </r>
    <r>
      <rPr>
        <b/>
        <sz val="12"/>
        <color theme="1"/>
        <rFont val="Calibri"/>
        <family val="2"/>
        <scheme val="minor"/>
      </rPr>
      <t>)</t>
    </r>
    <r>
      <rPr>
        <b/>
        <vertAlign val="superscript"/>
        <sz val="12"/>
        <color theme="1"/>
        <rFont val="Calibri"/>
        <family val="2"/>
        <scheme val="minor"/>
      </rPr>
      <t>2</t>
    </r>
  </si>
  <si>
    <r>
      <t>(q</t>
    </r>
    <r>
      <rPr>
        <b/>
        <vertAlign val="subscript"/>
        <sz val="12"/>
        <color theme="1"/>
        <rFont val="Calibri"/>
        <family val="2"/>
        <scheme val="minor"/>
      </rPr>
      <t>t</t>
    </r>
    <r>
      <rPr>
        <b/>
        <sz val="12"/>
        <color theme="1"/>
        <rFont val="Calibri"/>
        <family val="2"/>
        <scheme val="minor"/>
      </rPr>
      <t xml:space="preserve"> - q</t>
    </r>
    <r>
      <rPr>
        <b/>
        <vertAlign val="subscript"/>
        <sz val="12"/>
        <color theme="1"/>
        <rFont val="Calibri"/>
        <family val="2"/>
        <scheme val="minor"/>
      </rPr>
      <t>avg</t>
    </r>
    <r>
      <rPr>
        <b/>
        <sz val="12"/>
        <color theme="1"/>
        <rFont val="Calibri"/>
        <family val="2"/>
        <scheme val="minor"/>
      </rPr>
      <t>)</t>
    </r>
    <r>
      <rPr>
        <b/>
        <vertAlign val="superscript"/>
        <sz val="12"/>
        <color theme="1"/>
        <rFont val="Calibri"/>
        <family val="2"/>
        <scheme val="minor"/>
      </rPr>
      <t>2</t>
    </r>
  </si>
  <si>
    <t>Two harmonic fit parameters (di,qi)</t>
  </si>
  <si>
    <t>(1) Provide guess initial values of d and q in D7 and E7.</t>
  </si>
  <si>
    <t>(2) Run the solver to maximize cell F7 by changing D7 and E7.</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</si>
</sst>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Calibri"/>
      <family val="2"/>
      <scheme val="minor"/>
    </font>
    <font>
      <b/>
      <sz val="12"/>
      <color theme="1"/>
      <name val="Calibri"/>
      <family val="2"/>
      <scheme val="minor"/>
    </font>
    <font>
      <b/>
      <sz val="11"/>
      <color theme="1"/>
      <name val="Calibri"/>
      <family val="2"/>
      <scheme val="minor"/>
    </font>
    <font>
      <b/>
      <sz val="10"/>
      <color theme="1"/>
      <name val="Arial"/>
      <family val="2"/>
    </font>
    <font>
      <b/>
      <vertAlign val="subscript"/>
      <sz val="10"/>
      <color theme="1"/>
      <name val="Arial"/>
      <family val="2"/>
    </font>
    <font>
      <b/>
      <vertAlign val="subscript"/>
      <sz val="12"/>
      <color theme="1"/>
      <name val="Calibri"/>
      <family val="2"/>
      <scheme val="minor"/>
    </font>
    <font>
      <b/>
      <vertAlign val="superscript"/>
      <sz val="12"/>
      <color theme="1"/>
      <name val="Calibri"/>
      <family val="2"/>
      <scheme val="minor"/>
    </font>
    <font>
      <b/>
      <sz val="16"/>
      <color theme="1"/>
      <name val="Calibri (Body)"/>
    </font>
    <font>
      <sz val="10"/>
      <color rgb="FF000000"/>
      <name val="Arial"/>
      <family val="2"/>
    </font>
    <font>
      <sz val="12"/>
      <color rgb="FF000000"/>
      <name val="Calibri"/>
      <family val="2"/>
    </font>
  </fonts>
  <fills count="9">
    <fill>
      <patternFill patternType="none"/>
    </fill>
    <fill>
      <patternFill patternType="gray125"/>
    </fill>
    <fill>
      <patternFill patternType="solid">
        <fgColor rgb="FFCCFFCC"/>
        <bgColor indexed="64"/>
      </patternFill>
    </fill>
    <fill>
      <patternFill patternType="solid">
        <fgColor rgb="FFFFFF99"/>
        <bgColor indexed="64"/>
      </patternFill>
    </fill>
    <fill>
      <patternFill patternType="solid">
        <fgColor theme="4" tint="0.39997558519241921"/>
        <bgColor indexed="64"/>
      </patternFill>
    </fill>
    <fill>
      <patternFill patternType="solid">
        <fgColor theme="0"/>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0">
    <xf numFmtId="0" fontId="0" fillId="0" borderId="0" xfId="0"/>
    <xf numFmtId="0" fontId="3" fillId="0" borderId="1" xfId="0" applyFont="1" applyFill="1" applyBorder="1" applyAlignment="1">
      <alignment horizontal="center" vertical="center" wrapText="1"/>
    </xf>
    <xf numFmtId="0" fontId="1" fillId="2" borderId="1" xfId="0" applyFont="1" applyFill="1" applyBorder="1" applyAlignment="1">
      <alignment horizontal="center"/>
    </xf>
    <xf numFmtId="0" fontId="1" fillId="3" borderId="1" xfId="0" applyFont="1" applyFill="1" applyBorder="1" applyAlignment="1">
      <alignment horizontal="center"/>
    </xf>
    <xf numFmtId="0" fontId="7" fillId="0" borderId="0" xfId="0" applyFont="1"/>
    <xf numFmtId="0" fontId="0" fillId="4" borderId="1" xfId="0" applyFill="1" applyBorder="1"/>
    <xf numFmtId="49" fontId="2" fillId="4" borderId="0" xfId="0" applyNumberFormat="1" applyFont="1" applyFill="1" applyBorder="1"/>
    <xf numFmtId="0" fontId="0" fillId="4" borderId="0" xfId="0" applyFill="1" applyBorder="1"/>
    <xf numFmtId="0" fontId="0" fillId="6" borderId="0" xfId="0" applyFill="1"/>
    <xf numFmtId="0" fontId="3" fillId="6" borderId="1"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0" fillId="7" borderId="1" xfId="0" applyFill="1" applyBorder="1"/>
    <xf numFmtId="0" fontId="3" fillId="0" borderId="1" xfId="0" applyFont="1" applyBorder="1" applyAlignment="1">
      <alignment horizontal="center" vertical="center" wrapText="1"/>
    </xf>
    <xf numFmtId="0" fontId="3" fillId="8" borderId="1" xfId="0" applyFont="1" applyFill="1" applyBorder="1" applyAlignment="1">
      <alignment horizontal="center" vertical="center"/>
    </xf>
    <xf numFmtId="17" fontId="0" fillId="0" borderId="1" xfId="0" applyNumberFormat="1" applyBorder="1" applyAlignment="1">
      <alignment horizontal="center" vertical="center" wrapText="1"/>
    </xf>
    <xf numFmtId="0" fontId="8" fillId="0" borderId="1" xfId="0" applyFont="1" applyFill="1" applyBorder="1" applyAlignment="1">
      <alignment horizontal="center" vertical="center" wrapText="1"/>
    </xf>
    <xf numFmtId="0" fontId="8" fillId="8" borderId="1" xfId="0" applyFont="1" applyFill="1" applyBorder="1" applyAlignment="1">
      <alignment horizontal="center" vertical="center" wrapText="1"/>
    </xf>
    <xf numFmtId="17" fontId="8" fillId="0" borderId="1" xfId="0" applyNumberFormat="1" applyFont="1" applyFill="1" applyBorder="1" applyAlignment="1">
      <alignment horizontal="center" vertical="center" wrapText="1"/>
    </xf>
    <xf numFmtId="0" fontId="0" fillId="0" borderId="0" xfId="0" applyBorder="1"/>
    <xf numFmtId="0" fontId="0" fillId="8" borderId="0" xfId="0" applyFill="1"/>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US"/>
              <a:t>Harmonic</a:t>
            </a:r>
            <a:r>
              <a:rPr lang="en-US" baseline="0"/>
              <a:t> Decline Curve</a:t>
            </a:r>
            <a:endParaRPr lang="en-US"/>
          </a:p>
        </c:rich>
      </c:tx>
      <c:layout/>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0.0810322294950389"/>
          <c:y val="0.066672024850504"/>
          <c:w val="0.885441456900489"/>
          <c:h val="0.785907671861954"/>
        </c:manualLayout>
      </c:layout>
      <c:scatterChart>
        <c:scatterStyle val="smoothMarker"/>
        <c:varyColors val="0"/>
        <c:ser>
          <c:idx val="0"/>
          <c:order val="0"/>
          <c:tx>
            <c:v>Decline Curve Fit</c:v>
          </c:tx>
          <c:spPr>
            <a:ln w="28575">
              <a:solidFill>
                <a:schemeClr val="accent1">
                  <a:alpha val="20000"/>
                </a:schemeClr>
              </a:solidFill>
            </a:ln>
            <a:effectLst/>
          </c:spPr>
          <c:marker>
            <c:symbol val="circle"/>
            <c:size val="4"/>
            <c:spPr>
              <a:solidFill>
                <a:schemeClr val="accent1"/>
              </a:solidFill>
              <a:ln w="9525" cap="flat" cmpd="sng" algn="ctr">
                <a:solidFill>
                  <a:schemeClr val="accent1"/>
                </a:solidFill>
                <a:round/>
              </a:ln>
              <a:effectLst/>
            </c:spPr>
          </c:marker>
          <c:xVal>
            <c:numRef>
              <c:f>Harmonic!$C$25:$C$347</c:f>
              <c:numCache>
                <c:formatCode>General</c:formatCode>
                <c:ptCount val="323"/>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pt idx="20">
                  <c:v>21.0</c:v>
                </c:pt>
                <c:pt idx="21">
                  <c:v>22.0</c:v>
                </c:pt>
                <c:pt idx="22">
                  <c:v>23.0</c:v>
                </c:pt>
                <c:pt idx="23">
                  <c:v>24.0</c:v>
                </c:pt>
                <c:pt idx="24">
                  <c:v>25.0</c:v>
                </c:pt>
                <c:pt idx="25">
                  <c:v>26.0</c:v>
                </c:pt>
                <c:pt idx="26">
                  <c:v>27.0</c:v>
                </c:pt>
                <c:pt idx="27">
                  <c:v>28.0</c:v>
                </c:pt>
                <c:pt idx="28">
                  <c:v>29.0</c:v>
                </c:pt>
                <c:pt idx="29">
                  <c:v>30.0</c:v>
                </c:pt>
                <c:pt idx="30">
                  <c:v>31.0</c:v>
                </c:pt>
                <c:pt idx="31">
                  <c:v>32.0</c:v>
                </c:pt>
                <c:pt idx="32">
                  <c:v>33.0</c:v>
                </c:pt>
                <c:pt idx="33">
                  <c:v>34.0</c:v>
                </c:pt>
                <c:pt idx="34">
                  <c:v>35.0</c:v>
                </c:pt>
                <c:pt idx="35">
                  <c:v>36.0</c:v>
                </c:pt>
                <c:pt idx="36">
                  <c:v>37.0</c:v>
                </c:pt>
                <c:pt idx="37">
                  <c:v>38.0</c:v>
                </c:pt>
                <c:pt idx="38">
                  <c:v>39.0</c:v>
                </c:pt>
                <c:pt idx="39">
                  <c:v>40.0</c:v>
                </c:pt>
                <c:pt idx="40">
                  <c:v>41.0</c:v>
                </c:pt>
                <c:pt idx="41">
                  <c:v>42.0</c:v>
                </c:pt>
                <c:pt idx="42">
                  <c:v>43.0</c:v>
                </c:pt>
                <c:pt idx="43">
                  <c:v>44.0</c:v>
                </c:pt>
                <c:pt idx="44">
                  <c:v>45.0</c:v>
                </c:pt>
                <c:pt idx="45">
                  <c:v>46.0</c:v>
                </c:pt>
                <c:pt idx="46">
                  <c:v>47.0</c:v>
                </c:pt>
                <c:pt idx="47">
                  <c:v>48.0</c:v>
                </c:pt>
                <c:pt idx="48">
                  <c:v>49.0</c:v>
                </c:pt>
                <c:pt idx="49">
                  <c:v>50.0</c:v>
                </c:pt>
                <c:pt idx="50">
                  <c:v>51.0</c:v>
                </c:pt>
                <c:pt idx="51">
                  <c:v>52.0</c:v>
                </c:pt>
                <c:pt idx="52">
                  <c:v>53.0</c:v>
                </c:pt>
                <c:pt idx="53">
                  <c:v>54.0</c:v>
                </c:pt>
                <c:pt idx="54">
                  <c:v>55.0</c:v>
                </c:pt>
                <c:pt idx="55">
                  <c:v>56.0</c:v>
                </c:pt>
                <c:pt idx="56">
                  <c:v>57.0</c:v>
                </c:pt>
                <c:pt idx="57">
                  <c:v>58.0</c:v>
                </c:pt>
                <c:pt idx="58">
                  <c:v>59.0</c:v>
                </c:pt>
                <c:pt idx="59">
                  <c:v>60.0</c:v>
                </c:pt>
                <c:pt idx="60">
                  <c:v>61.0</c:v>
                </c:pt>
                <c:pt idx="61">
                  <c:v>62.0</c:v>
                </c:pt>
                <c:pt idx="62">
                  <c:v>63.0</c:v>
                </c:pt>
                <c:pt idx="63">
                  <c:v>64.0</c:v>
                </c:pt>
                <c:pt idx="64">
                  <c:v>65.0</c:v>
                </c:pt>
                <c:pt idx="65">
                  <c:v>66.0</c:v>
                </c:pt>
                <c:pt idx="66">
                  <c:v>67.0</c:v>
                </c:pt>
                <c:pt idx="67">
                  <c:v>68.0</c:v>
                </c:pt>
                <c:pt idx="68">
                  <c:v>69.0</c:v>
                </c:pt>
                <c:pt idx="69">
                  <c:v>70.0</c:v>
                </c:pt>
                <c:pt idx="70">
                  <c:v>71.0</c:v>
                </c:pt>
                <c:pt idx="71">
                  <c:v>72.0</c:v>
                </c:pt>
                <c:pt idx="72">
                  <c:v>73.0</c:v>
                </c:pt>
                <c:pt idx="73">
                  <c:v>74.0</c:v>
                </c:pt>
                <c:pt idx="74">
                  <c:v>75.0</c:v>
                </c:pt>
                <c:pt idx="75">
                  <c:v>76.0</c:v>
                </c:pt>
                <c:pt idx="76">
                  <c:v>77.0</c:v>
                </c:pt>
                <c:pt idx="77">
                  <c:v>78.0</c:v>
                </c:pt>
                <c:pt idx="78">
                  <c:v>79.0</c:v>
                </c:pt>
                <c:pt idx="79">
                  <c:v>80.0</c:v>
                </c:pt>
                <c:pt idx="80">
                  <c:v>81.0</c:v>
                </c:pt>
                <c:pt idx="81">
                  <c:v>82.0</c:v>
                </c:pt>
                <c:pt idx="82">
                  <c:v>83.0</c:v>
                </c:pt>
                <c:pt idx="83">
                  <c:v>84.0</c:v>
                </c:pt>
                <c:pt idx="84">
                  <c:v>85.0</c:v>
                </c:pt>
                <c:pt idx="85">
                  <c:v>86.0</c:v>
                </c:pt>
                <c:pt idx="86">
                  <c:v>87.0</c:v>
                </c:pt>
                <c:pt idx="87">
                  <c:v>88.0</c:v>
                </c:pt>
                <c:pt idx="88">
                  <c:v>89.0</c:v>
                </c:pt>
                <c:pt idx="89">
                  <c:v>90.0</c:v>
                </c:pt>
                <c:pt idx="90">
                  <c:v>91.0</c:v>
                </c:pt>
                <c:pt idx="91">
                  <c:v>92.0</c:v>
                </c:pt>
                <c:pt idx="92">
                  <c:v>93.0</c:v>
                </c:pt>
                <c:pt idx="93">
                  <c:v>94.0</c:v>
                </c:pt>
                <c:pt idx="94">
                  <c:v>95.0</c:v>
                </c:pt>
                <c:pt idx="95">
                  <c:v>96.0</c:v>
                </c:pt>
                <c:pt idx="96">
                  <c:v>97.0</c:v>
                </c:pt>
                <c:pt idx="97">
                  <c:v>98.0</c:v>
                </c:pt>
                <c:pt idx="98">
                  <c:v>99.0</c:v>
                </c:pt>
                <c:pt idx="99">
                  <c:v>100.0</c:v>
                </c:pt>
                <c:pt idx="100">
                  <c:v>101.0</c:v>
                </c:pt>
                <c:pt idx="101">
                  <c:v>102.0</c:v>
                </c:pt>
                <c:pt idx="102">
                  <c:v>103.0</c:v>
                </c:pt>
                <c:pt idx="103">
                  <c:v>104.0</c:v>
                </c:pt>
                <c:pt idx="104">
                  <c:v>105.0</c:v>
                </c:pt>
                <c:pt idx="105">
                  <c:v>106.0</c:v>
                </c:pt>
                <c:pt idx="106">
                  <c:v>107.0</c:v>
                </c:pt>
                <c:pt idx="107">
                  <c:v>108.0</c:v>
                </c:pt>
                <c:pt idx="108">
                  <c:v>109.0</c:v>
                </c:pt>
                <c:pt idx="109">
                  <c:v>110.0</c:v>
                </c:pt>
                <c:pt idx="110">
                  <c:v>111.0</c:v>
                </c:pt>
                <c:pt idx="111">
                  <c:v>112.0</c:v>
                </c:pt>
                <c:pt idx="112">
                  <c:v>113.0</c:v>
                </c:pt>
                <c:pt idx="113">
                  <c:v>114.0</c:v>
                </c:pt>
                <c:pt idx="114">
                  <c:v>115.0</c:v>
                </c:pt>
                <c:pt idx="115">
                  <c:v>116.0</c:v>
                </c:pt>
                <c:pt idx="116">
                  <c:v>117.0</c:v>
                </c:pt>
                <c:pt idx="117">
                  <c:v>118.0</c:v>
                </c:pt>
                <c:pt idx="118">
                  <c:v>119.0</c:v>
                </c:pt>
                <c:pt idx="119">
                  <c:v>120.0</c:v>
                </c:pt>
                <c:pt idx="120">
                  <c:v>121.0</c:v>
                </c:pt>
                <c:pt idx="121">
                  <c:v>122.0</c:v>
                </c:pt>
                <c:pt idx="122">
                  <c:v>123.0</c:v>
                </c:pt>
                <c:pt idx="123">
                  <c:v>124.0</c:v>
                </c:pt>
                <c:pt idx="124">
                  <c:v>125.0</c:v>
                </c:pt>
                <c:pt idx="125">
                  <c:v>126.0</c:v>
                </c:pt>
                <c:pt idx="126">
                  <c:v>127.0</c:v>
                </c:pt>
                <c:pt idx="127">
                  <c:v>128.0</c:v>
                </c:pt>
                <c:pt idx="128">
                  <c:v>129.0</c:v>
                </c:pt>
                <c:pt idx="129">
                  <c:v>130.0</c:v>
                </c:pt>
                <c:pt idx="130">
                  <c:v>131.0</c:v>
                </c:pt>
                <c:pt idx="131">
                  <c:v>132.0</c:v>
                </c:pt>
                <c:pt idx="132">
                  <c:v>133.0</c:v>
                </c:pt>
                <c:pt idx="133">
                  <c:v>134.0</c:v>
                </c:pt>
                <c:pt idx="134">
                  <c:v>135.0</c:v>
                </c:pt>
                <c:pt idx="135">
                  <c:v>136.0</c:v>
                </c:pt>
                <c:pt idx="136">
                  <c:v>137.0</c:v>
                </c:pt>
                <c:pt idx="137">
                  <c:v>138.0</c:v>
                </c:pt>
                <c:pt idx="138">
                  <c:v>139.0</c:v>
                </c:pt>
                <c:pt idx="139">
                  <c:v>140.0</c:v>
                </c:pt>
                <c:pt idx="140">
                  <c:v>141.0</c:v>
                </c:pt>
                <c:pt idx="141">
                  <c:v>142.0</c:v>
                </c:pt>
                <c:pt idx="142">
                  <c:v>143.0</c:v>
                </c:pt>
                <c:pt idx="143">
                  <c:v>144.0</c:v>
                </c:pt>
                <c:pt idx="144">
                  <c:v>145.0</c:v>
                </c:pt>
                <c:pt idx="145">
                  <c:v>146.0</c:v>
                </c:pt>
                <c:pt idx="146">
                  <c:v>147.0</c:v>
                </c:pt>
                <c:pt idx="147">
                  <c:v>148.0</c:v>
                </c:pt>
                <c:pt idx="148">
                  <c:v>149.0</c:v>
                </c:pt>
                <c:pt idx="149">
                  <c:v>150.0</c:v>
                </c:pt>
                <c:pt idx="150">
                  <c:v>151.0</c:v>
                </c:pt>
                <c:pt idx="151">
                  <c:v>152.0</c:v>
                </c:pt>
                <c:pt idx="152">
                  <c:v>153.0</c:v>
                </c:pt>
                <c:pt idx="153">
                  <c:v>154.0</c:v>
                </c:pt>
                <c:pt idx="154">
                  <c:v>155.0</c:v>
                </c:pt>
                <c:pt idx="155">
                  <c:v>156.0</c:v>
                </c:pt>
                <c:pt idx="156">
                  <c:v>157.0</c:v>
                </c:pt>
                <c:pt idx="157">
                  <c:v>158.0</c:v>
                </c:pt>
                <c:pt idx="158">
                  <c:v>159.0</c:v>
                </c:pt>
                <c:pt idx="159">
                  <c:v>160.0</c:v>
                </c:pt>
                <c:pt idx="160">
                  <c:v>161.0</c:v>
                </c:pt>
                <c:pt idx="161">
                  <c:v>162.0</c:v>
                </c:pt>
                <c:pt idx="162">
                  <c:v>163.0</c:v>
                </c:pt>
                <c:pt idx="163">
                  <c:v>164.0</c:v>
                </c:pt>
                <c:pt idx="164">
                  <c:v>165.0</c:v>
                </c:pt>
                <c:pt idx="165">
                  <c:v>166.0</c:v>
                </c:pt>
                <c:pt idx="166">
                  <c:v>167.0</c:v>
                </c:pt>
                <c:pt idx="167">
                  <c:v>168.0</c:v>
                </c:pt>
                <c:pt idx="168">
                  <c:v>169.0</c:v>
                </c:pt>
                <c:pt idx="169">
                  <c:v>170.0</c:v>
                </c:pt>
                <c:pt idx="170">
                  <c:v>171.0</c:v>
                </c:pt>
                <c:pt idx="171">
                  <c:v>172.0</c:v>
                </c:pt>
                <c:pt idx="172">
                  <c:v>173.0</c:v>
                </c:pt>
                <c:pt idx="173">
                  <c:v>174.0</c:v>
                </c:pt>
                <c:pt idx="174">
                  <c:v>175.0</c:v>
                </c:pt>
                <c:pt idx="175">
                  <c:v>176.0</c:v>
                </c:pt>
                <c:pt idx="176">
                  <c:v>177.0</c:v>
                </c:pt>
                <c:pt idx="177">
                  <c:v>178.0</c:v>
                </c:pt>
                <c:pt idx="178">
                  <c:v>179.0</c:v>
                </c:pt>
                <c:pt idx="179">
                  <c:v>180.0</c:v>
                </c:pt>
                <c:pt idx="180">
                  <c:v>181.0</c:v>
                </c:pt>
                <c:pt idx="181">
                  <c:v>182.0</c:v>
                </c:pt>
                <c:pt idx="182">
                  <c:v>183.0</c:v>
                </c:pt>
                <c:pt idx="183">
                  <c:v>184.0</c:v>
                </c:pt>
                <c:pt idx="184">
                  <c:v>185.0</c:v>
                </c:pt>
                <c:pt idx="185">
                  <c:v>186.0</c:v>
                </c:pt>
                <c:pt idx="186">
                  <c:v>187.0</c:v>
                </c:pt>
                <c:pt idx="187">
                  <c:v>188.0</c:v>
                </c:pt>
                <c:pt idx="188">
                  <c:v>189.0</c:v>
                </c:pt>
                <c:pt idx="189">
                  <c:v>190.0</c:v>
                </c:pt>
                <c:pt idx="190">
                  <c:v>191.0</c:v>
                </c:pt>
                <c:pt idx="191">
                  <c:v>192.0</c:v>
                </c:pt>
                <c:pt idx="192">
                  <c:v>193.0</c:v>
                </c:pt>
                <c:pt idx="193">
                  <c:v>194.0</c:v>
                </c:pt>
                <c:pt idx="194">
                  <c:v>195.0</c:v>
                </c:pt>
                <c:pt idx="195">
                  <c:v>196.0</c:v>
                </c:pt>
                <c:pt idx="196">
                  <c:v>197.0</c:v>
                </c:pt>
                <c:pt idx="197">
                  <c:v>198.0</c:v>
                </c:pt>
                <c:pt idx="198">
                  <c:v>199.0</c:v>
                </c:pt>
                <c:pt idx="199">
                  <c:v>200.0</c:v>
                </c:pt>
                <c:pt idx="200">
                  <c:v>201.0</c:v>
                </c:pt>
                <c:pt idx="201">
                  <c:v>202.0</c:v>
                </c:pt>
                <c:pt idx="202">
                  <c:v>203.0</c:v>
                </c:pt>
                <c:pt idx="203">
                  <c:v>204.0</c:v>
                </c:pt>
                <c:pt idx="204">
                  <c:v>205.0</c:v>
                </c:pt>
                <c:pt idx="205">
                  <c:v>206.0</c:v>
                </c:pt>
                <c:pt idx="206">
                  <c:v>207.0</c:v>
                </c:pt>
                <c:pt idx="207">
                  <c:v>208.0</c:v>
                </c:pt>
                <c:pt idx="208">
                  <c:v>209.0</c:v>
                </c:pt>
                <c:pt idx="209">
                  <c:v>210.0</c:v>
                </c:pt>
                <c:pt idx="210">
                  <c:v>211.0</c:v>
                </c:pt>
                <c:pt idx="211">
                  <c:v>212.0</c:v>
                </c:pt>
                <c:pt idx="212">
                  <c:v>213.0</c:v>
                </c:pt>
                <c:pt idx="213">
                  <c:v>214.0</c:v>
                </c:pt>
                <c:pt idx="214">
                  <c:v>215.0</c:v>
                </c:pt>
                <c:pt idx="215">
                  <c:v>216.0</c:v>
                </c:pt>
                <c:pt idx="216">
                  <c:v>217.0</c:v>
                </c:pt>
                <c:pt idx="217">
                  <c:v>218.0</c:v>
                </c:pt>
                <c:pt idx="218">
                  <c:v>219.0</c:v>
                </c:pt>
                <c:pt idx="219">
                  <c:v>220.0</c:v>
                </c:pt>
                <c:pt idx="220">
                  <c:v>221.0</c:v>
                </c:pt>
                <c:pt idx="221">
                  <c:v>222.0</c:v>
                </c:pt>
                <c:pt idx="222">
                  <c:v>223.0</c:v>
                </c:pt>
                <c:pt idx="223">
                  <c:v>224.0</c:v>
                </c:pt>
                <c:pt idx="224">
                  <c:v>225.0</c:v>
                </c:pt>
                <c:pt idx="225">
                  <c:v>226.0</c:v>
                </c:pt>
                <c:pt idx="226">
                  <c:v>227.0</c:v>
                </c:pt>
                <c:pt idx="227">
                  <c:v>228.0</c:v>
                </c:pt>
                <c:pt idx="228">
                  <c:v>229.0</c:v>
                </c:pt>
                <c:pt idx="229">
                  <c:v>230.0</c:v>
                </c:pt>
                <c:pt idx="230">
                  <c:v>231.0</c:v>
                </c:pt>
                <c:pt idx="231">
                  <c:v>232.0</c:v>
                </c:pt>
                <c:pt idx="232">
                  <c:v>233.0</c:v>
                </c:pt>
                <c:pt idx="233">
                  <c:v>234.0</c:v>
                </c:pt>
                <c:pt idx="234">
                  <c:v>235.0</c:v>
                </c:pt>
                <c:pt idx="235">
                  <c:v>236.0</c:v>
                </c:pt>
                <c:pt idx="236">
                  <c:v>237.0</c:v>
                </c:pt>
                <c:pt idx="237">
                  <c:v>238.0</c:v>
                </c:pt>
                <c:pt idx="238">
                  <c:v>239.0</c:v>
                </c:pt>
                <c:pt idx="239">
                  <c:v>240.0</c:v>
                </c:pt>
                <c:pt idx="240">
                  <c:v>241.0</c:v>
                </c:pt>
                <c:pt idx="241">
                  <c:v>242.0</c:v>
                </c:pt>
                <c:pt idx="242">
                  <c:v>243.0</c:v>
                </c:pt>
                <c:pt idx="243">
                  <c:v>244.0</c:v>
                </c:pt>
                <c:pt idx="244">
                  <c:v>245.0</c:v>
                </c:pt>
                <c:pt idx="245">
                  <c:v>246.0</c:v>
                </c:pt>
                <c:pt idx="246">
                  <c:v>247.0</c:v>
                </c:pt>
                <c:pt idx="247">
                  <c:v>248.0</c:v>
                </c:pt>
                <c:pt idx="248">
                  <c:v>249.0</c:v>
                </c:pt>
                <c:pt idx="249">
                  <c:v>250.0</c:v>
                </c:pt>
                <c:pt idx="250">
                  <c:v>251.0</c:v>
                </c:pt>
                <c:pt idx="251">
                  <c:v>252.0</c:v>
                </c:pt>
                <c:pt idx="252">
                  <c:v>253.0</c:v>
                </c:pt>
                <c:pt idx="253">
                  <c:v>254.0</c:v>
                </c:pt>
                <c:pt idx="254">
                  <c:v>255.0</c:v>
                </c:pt>
                <c:pt idx="255">
                  <c:v>256.0</c:v>
                </c:pt>
                <c:pt idx="256">
                  <c:v>257.0</c:v>
                </c:pt>
                <c:pt idx="257">
                  <c:v>258.0</c:v>
                </c:pt>
                <c:pt idx="258">
                  <c:v>259.0</c:v>
                </c:pt>
                <c:pt idx="259">
                  <c:v>260.0</c:v>
                </c:pt>
                <c:pt idx="260">
                  <c:v>261.0</c:v>
                </c:pt>
                <c:pt idx="261">
                  <c:v>262.0</c:v>
                </c:pt>
                <c:pt idx="262">
                  <c:v>263.0</c:v>
                </c:pt>
                <c:pt idx="263">
                  <c:v>264.0</c:v>
                </c:pt>
                <c:pt idx="264">
                  <c:v>265.0</c:v>
                </c:pt>
                <c:pt idx="265">
                  <c:v>266.0</c:v>
                </c:pt>
                <c:pt idx="266">
                  <c:v>267.0</c:v>
                </c:pt>
                <c:pt idx="267">
                  <c:v>268.0</c:v>
                </c:pt>
                <c:pt idx="268">
                  <c:v>269.0</c:v>
                </c:pt>
                <c:pt idx="269">
                  <c:v>270.0</c:v>
                </c:pt>
                <c:pt idx="270">
                  <c:v>271.0</c:v>
                </c:pt>
                <c:pt idx="271">
                  <c:v>272.0</c:v>
                </c:pt>
                <c:pt idx="272">
                  <c:v>273.0</c:v>
                </c:pt>
                <c:pt idx="273">
                  <c:v>274.0</c:v>
                </c:pt>
                <c:pt idx="274">
                  <c:v>275.0</c:v>
                </c:pt>
                <c:pt idx="275">
                  <c:v>276.0</c:v>
                </c:pt>
                <c:pt idx="276">
                  <c:v>277.0</c:v>
                </c:pt>
                <c:pt idx="277">
                  <c:v>278.0</c:v>
                </c:pt>
                <c:pt idx="278">
                  <c:v>279.0</c:v>
                </c:pt>
                <c:pt idx="279">
                  <c:v>280.0</c:v>
                </c:pt>
                <c:pt idx="280">
                  <c:v>281.0</c:v>
                </c:pt>
                <c:pt idx="281">
                  <c:v>282.0</c:v>
                </c:pt>
                <c:pt idx="282">
                  <c:v>283.0</c:v>
                </c:pt>
                <c:pt idx="283">
                  <c:v>284.0</c:v>
                </c:pt>
                <c:pt idx="284">
                  <c:v>285.0</c:v>
                </c:pt>
                <c:pt idx="285">
                  <c:v>286.0</c:v>
                </c:pt>
                <c:pt idx="286">
                  <c:v>287.0</c:v>
                </c:pt>
                <c:pt idx="287">
                  <c:v>288.0</c:v>
                </c:pt>
                <c:pt idx="288">
                  <c:v>289.0</c:v>
                </c:pt>
                <c:pt idx="289">
                  <c:v>290.0</c:v>
                </c:pt>
                <c:pt idx="290">
                  <c:v>291.0</c:v>
                </c:pt>
                <c:pt idx="291">
                  <c:v>292.0</c:v>
                </c:pt>
                <c:pt idx="292">
                  <c:v>293.0</c:v>
                </c:pt>
                <c:pt idx="293">
                  <c:v>294.0</c:v>
                </c:pt>
                <c:pt idx="294">
                  <c:v>295.0</c:v>
                </c:pt>
                <c:pt idx="295">
                  <c:v>296.0</c:v>
                </c:pt>
                <c:pt idx="296">
                  <c:v>297.0</c:v>
                </c:pt>
                <c:pt idx="297">
                  <c:v>298.0</c:v>
                </c:pt>
                <c:pt idx="298">
                  <c:v>299.0</c:v>
                </c:pt>
                <c:pt idx="299">
                  <c:v>300.0</c:v>
                </c:pt>
                <c:pt idx="300">
                  <c:v>301.0</c:v>
                </c:pt>
                <c:pt idx="301">
                  <c:v>302.0</c:v>
                </c:pt>
                <c:pt idx="302">
                  <c:v>303.0</c:v>
                </c:pt>
                <c:pt idx="303">
                  <c:v>304.0</c:v>
                </c:pt>
                <c:pt idx="304">
                  <c:v>305.0</c:v>
                </c:pt>
                <c:pt idx="305">
                  <c:v>306.0</c:v>
                </c:pt>
                <c:pt idx="306">
                  <c:v>307.0</c:v>
                </c:pt>
                <c:pt idx="307">
                  <c:v>308.0</c:v>
                </c:pt>
                <c:pt idx="308">
                  <c:v>309.0</c:v>
                </c:pt>
                <c:pt idx="309">
                  <c:v>310.0</c:v>
                </c:pt>
                <c:pt idx="310">
                  <c:v>311.0</c:v>
                </c:pt>
                <c:pt idx="311">
                  <c:v>312.0</c:v>
                </c:pt>
                <c:pt idx="312">
                  <c:v>313.0</c:v>
                </c:pt>
                <c:pt idx="313">
                  <c:v>314.0</c:v>
                </c:pt>
                <c:pt idx="314">
                  <c:v>315.0</c:v>
                </c:pt>
                <c:pt idx="315">
                  <c:v>316.0</c:v>
                </c:pt>
                <c:pt idx="316">
                  <c:v>317.0</c:v>
                </c:pt>
                <c:pt idx="317">
                  <c:v>318.0</c:v>
                </c:pt>
                <c:pt idx="318">
                  <c:v>319.0</c:v>
                </c:pt>
                <c:pt idx="319">
                  <c:v>320.0</c:v>
                </c:pt>
                <c:pt idx="320">
                  <c:v>321.0</c:v>
                </c:pt>
                <c:pt idx="321">
                  <c:v>322.0</c:v>
                </c:pt>
                <c:pt idx="322">
                  <c:v>323.0</c:v>
                </c:pt>
              </c:numCache>
            </c:numRef>
          </c:xVal>
          <c:yVal>
            <c:numRef>
              <c:f>Harmonic!$E$25:$E$347</c:f>
              <c:numCache>
                <c:formatCode>General</c:formatCode>
                <c:ptCount val="323"/>
                <c:pt idx="0">
                  <c:v>15153.13371291529</c:v>
                </c:pt>
                <c:pt idx="1">
                  <c:v>14103.95692127482</c:v>
                </c:pt>
                <c:pt idx="2">
                  <c:v>13190.65852053514</c:v>
                </c:pt>
                <c:pt idx="3">
                  <c:v>12388.4475257039</c:v>
                </c:pt>
                <c:pt idx="4">
                  <c:v>11678.2180189472</c:v>
                </c:pt>
                <c:pt idx="5">
                  <c:v>11045.00788613457</c:v>
                </c:pt>
                <c:pt idx="6">
                  <c:v>10476.93318153614</c:v>
                </c:pt>
                <c:pt idx="7">
                  <c:v>9964.435257259945</c:v>
                </c:pt>
                <c:pt idx="8">
                  <c:v>9499.73855578745</c:v>
                </c:pt>
                <c:pt idx="9">
                  <c:v>9076.453359167686</c:v>
                </c:pt>
                <c:pt idx="10">
                  <c:v>8689.280211082315</c:v>
                </c:pt>
                <c:pt idx="11">
                  <c:v>8333.786894504126</c:v>
                </c:pt>
                <c:pt idx="12">
                  <c:v>8006.238003011933</c:v>
                </c:pt>
                <c:pt idx="13">
                  <c:v>7703.463183087601</c:v>
                </c:pt>
                <c:pt idx="14">
                  <c:v>7422.75418338373</c:v>
                </c:pt>
                <c:pt idx="15">
                  <c:v>7161.783621356486</c:v>
                </c:pt>
                <c:pt idx="16">
                  <c:v>6918.54030399284</c:v>
                </c:pt>
                <c:pt idx="17">
                  <c:v>6691.277296203137</c:v>
                </c:pt>
                <c:pt idx="18">
                  <c:v>6478.469898918263</c:v>
                </c:pt>
                <c:pt idx="19">
                  <c:v>6278.781398735529</c:v>
                </c:pt>
                <c:pt idx="20">
                  <c:v>6091.034962433937</c:v>
                </c:pt>
                <c:pt idx="21">
                  <c:v>5914.190427506051</c:v>
                </c:pt>
                <c:pt idx="22">
                  <c:v>5747.325021738842</c:v>
                </c:pt>
                <c:pt idx="23">
                  <c:v>5589.617257146212</c:v>
                </c:pt>
                <c:pt idx="24">
                  <c:v>5440.333404803613</c:v>
                </c:pt>
                <c:pt idx="25">
                  <c:v>5298.816080632548</c:v>
                </c:pt>
                <c:pt idx="26">
                  <c:v>5164.474567500852</c:v>
                </c:pt>
                <c:pt idx="27">
                  <c:v>5036.7765731109</c:v>
                </c:pt>
                <c:pt idx="28">
                  <c:v>4915.241181160875</c:v>
                </c:pt>
                <c:pt idx="29">
                  <c:v>4799.432798975478</c:v>
                </c:pt>
                <c:pt idx="30">
                  <c:v>4688.95594104383</c:v>
                </c:pt>
                <c:pt idx="31">
                  <c:v>4583.450716804579</c:v>
                </c:pt>
                <c:pt idx="32">
                  <c:v>4482.588914196262</c:v>
                </c:pt>
                <c:pt idx="33">
                  <c:v>4386.070589177554</c:v>
                </c:pt>
                <c:pt idx="34">
                  <c:v>4293.62108656363</c:v>
                </c:pt>
                <c:pt idx="35">
                  <c:v>4204.988429853438</c:v>
                </c:pt>
                <c:pt idx="36">
                  <c:v>4119.941027807043</c:v>
                </c:pt>
                <c:pt idx="37">
                  <c:v>4038.265653817409</c:v>
                </c:pt>
                <c:pt idx="38">
                  <c:v>3959.765660956569</c:v>
                </c:pt>
                <c:pt idx="39">
                  <c:v>3884.259401238699</c:v>
                </c:pt>
                <c:pt idx="40">
                  <c:v>3811.578822351592</c:v>
                </c:pt>
                <c:pt idx="41">
                  <c:v>3741.568219038488</c:v>
                </c:pt>
                <c:pt idx="42">
                  <c:v>3674.083119604725</c:v>
                </c:pt>
                <c:pt idx="43">
                  <c:v>3608.989290791145</c:v>
                </c:pt>
                <c:pt idx="44">
                  <c:v>3546.161846590042</c:v>
                </c:pt>
                <c:pt idx="45">
                  <c:v>3485.484448553947</c:v>
                </c:pt>
                <c:pt idx="46">
                  <c:v>3426.848586823035</c:v>
                </c:pt>
                <c:pt idx="47">
                  <c:v>3370.152932522977</c:v>
                </c:pt>
                <c:pt idx="48">
                  <c:v>3315.302753402228</c:v>
                </c:pt>
                <c:pt idx="49">
                  <c:v>3262.209385619462</c:v>
                </c:pt>
                <c:pt idx="50">
                  <c:v>3210.789755485772</c:v>
                </c:pt>
                <c:pt idx="51">
                  <c:v>3160.965945735424</c:v>
                </c:pt>
                <c:pt idx="52">
                  <c:v>3112.664801562197</c:v>
                </c:pt>
                <c:pt idx="53">
                  <c:v>3065.81757223188</c:v>
                </c:pt>
                <c:pt idx="54">
                  <c:v>3020.359584578423</c:v>
                </c:pt>
                <c:pt idx="55">
                  <c:v>2976.229945122822</c:v>
                </c:pt>
                <c:pt idx="56">
                  <c:v>2933.371267929518</c:v>
                </c:pt>
                <c:pt idx="57">
                  <c:v>2891.729425642735</c:v>
                </c:pt>
                <c:pt idx="58">
                  <c:v>2851.253321431583</c:v>
                </c:pt>
                <c:pt idx="59">
                  <c:v>2811.894679823532</c:v>
                </c:pt>
                <c:pt idx="60">
                  <c:v>2773.607854626013</c:v>
                </c:pt>
                <c:pt idx="61">
                  <c:v>2736.349652329262</c:v>
                </c:pt>
                <c:pt idx="62">
                  <c:v>2700.079169554021</c:v>
                </c:pt>
                <c:pt idx="63">
                  <c:v>2664.757643257954</c:v>
                </c:pt>
                <c:pt idx="64">
                  <c:v>2630.348312547548</c:v>
                </c:pt>
                <c:pt idx="65">
                  <c:v>2596.816291059844</c:v>
                </c:pt>
                <c:pt idx="66">
                  <c:v>2564.128448982669</c:v>
                </c:pt>
                <c:pt idx="67">
                  <c:v>2532.253303874628</c:v>
                </c:pt>
                <c:pt idx="68">
                  <c:v>2501.160919528529</c:v>
                </c:pt>
                <c:pt idx="69">
                  <c:v>2470.822812195295</c:v>
                </c:pt>
                <c:pt idx="70">
                  <c:v>2441.211863550883</c:v>
                </c:pt>
                <c:pt idx="71">
                  <c:v>2412.30223984725</c:v>
                </c:pt>
                <c:pt idx="72">
                  <c:v>2384.069316740732</c:v>
                </c:pt>
                <c:pt idx="73">
                  <c:v>2356.489609338079</c:v>
                </c:pt>
                <c:pt idx="74">
                  <c:v>2329.540707042473</c:v>
                </c:pt>
                <c:pt idx="75">
                  <c:v>2303.201212819609</c:v>
                </c:pt>
                <c:pt idx="76">
                  <c:v>2277.450686537936</c:v>
                </c:pt>
                <c:pt idx="77">
                  <c:v>2252.26959206771</c:v>
                </c:pt>
                <c:pt idx="78">
                  <c:v>2227.639247851127</c:v>
                </c:pt>
                <c:pt idx="79">
                  <c:v>2203.541780680705</c:v>
                </c:pt>
                <c:pt idx="80">
                  <c:v>2179.960082445574</c:v>
                </c:pt>
                <c:pt idx="81">
                  <c:v>2156.877769625681</c:v>
                </c:pt>
                <c:pt idx="82">
                  <c:v>2134.2791453324</c:v>
                </c:pt>
                <c:pt idx="83">
                  <c:v>2112.149163710703</c:v>
                </c:pt>
                <c:pt idx="84">
                  <c:v>2090.473396533244</c:v>
                </c:pt>
                <c:pt idx="85">
                  <c:v>2069.23800183052</c:v>
                </c:pt>
                <c:pt idx="86">
                  <c:v>2048.429694413744</c:v>
                </c:pt>
                <c:pt idx="87">
                  <c:v>2028.035718158563</c:v>
                </c:pt>
                <c:pt idx="88">
                  <c:v>2008.043819928102</c:v>
                </c:pt>
                <c:pt idx="89">
                  <c:v>1988.442225023299</c:v>
                </c:pt>
                <c:pt idx="90">
                  <c:v>1969.219614057206</c:v>
                </c:pt>
                <c:pt idx="91">
                  <c:v>1950.365101157813</c:v>
                </c:pt>
                <c:pt idx="92">
                  <c:v>1931.868213411177</c:v>
                </c:pt>
                <c:pt idx="93">
                  <c:v>1913.718871463323</c:v>
                </c:pt>
                <c:pt idx="94">
                  <c:v>1895.907371205391</c:v>
                </c:pt>
                <c:pt idx="95">
                  <c:v>1878.42436647213</c:v>
                </c:pt>
                <c:pt idx="96">
                  <c:v>1861.260852688909</c:v>
                </c:pt>
                <c:pt idx="97">
                  <c:v>1844.408151407134</c:v>
                </c:pt>
                <c:pt idx="98">
                  <c:v>1827.857895672267</c:v>
                </c:pt>
                <c:pt idx="99">
                  <c:v>1811.602016172611</c:v>
                </c:pt>
                <c:pt idx="100">
                  <c:v>1795.63272812069</c:v>
                </c:pt>
                <c:pt idx="101">
                  <c:v>1779.942518822409</c:v>
                </c:pt>
                <c:pt idx="102">
                  <c:v>1764.52413589229</c:v>
                </c:pt>
                <c:pt idx="103">
                  <c:v>1749.370576075951</c:v>
                </c:pt>
                <c:pt idx="104">
                  <c:v>1734.475074643622</c:v>
                </c:pt>
                <c:pt idx="105">
                  <c:v>1719.831095320967</c:v>
                </c:pt>
                <c:pt idx="106">
                  <c:v>1705.432320725705</c:v>
                </c:pt>
                <c:pt idx="107">
                  <c:v>1691.272643280643</c:v>
                </c:pt>
                <c:pt idx="108">
                  <c:v>1677.346156575666</c:v>
                </c:pt>
                <c:pt idx="109">
                  <c:v>1663.647147153</c:v>
                </c:pt>
                <c:pt idx="110">
                  <c:v>1650.170086691763</c:v>
                </c:pt>
                <c:pt idx="111">
                  <c:v>1636.90962456934</c:v>
                </c:pt>
                <c:pt idx="112">
                  <c:v>1623.860580778539</c:v>
                </c:pt>
                <c:pt idx="113">
                  <c:v>1611.017939180858</c:v>
                </c:pt>
                <c:pt idx="114">
                  <c:v>1598.376841077382</c:v>
                </c:pt>
                <c:pt idx="115">
                  <c:v>1585.93257908</c:v>
                </c:pt>
                <c:pt idx="116">
                  <c:v>1573.680591266715</c:v>
                </c:pt>
                <c:pt idx="117">
                  <c:v>1561.616455605786</c:v>
                </c:pt>
                <c:pt idx="118">
                  <c:v>1549.735884634398</c:v>
                </c:pt>
                <c:pt idx="119">
                  <c:v>1538.034720378399</c:v>
                </c:pt>
                <c:pt idx="120">
                  <c:v>1526.50892950046</c:v>
                </c:pt>
                <c:pt idx="121">
                  <c:v>1515.154598664768</c:v>
                </c:pt>
                <c:pt idx="122">
                  <c:v>1503.967930107058</c:v>
                </c:pt>
                <c:pt idx="123">
                  <c:v>1492.945237399451</c:v>
                </c:pt>
                <c:pt idx="124">
                  <c:v>1482.082941400176</c:v>
                </c:pt>
                <c:pt idx="125">
                  <c:v>1471.377566378825</c:v>
                </c:pt>
                <c:pt idx="126">
                  <c:v>1460.825736308338</c:v>
                </c:pt>
                <c:pt idx="127">
                  <c:v>1450.424171315397</c:v>
                </c:pt>
                <c:pt idx="128">
                  <c:v>1440.169684281389</c:v>
                </c:pt>
                <c:pt idx="129">
                  <c:v>1430.059177586562</c:v>
                </c:pt>
                <c:pt idx="130">
                  <c:v>1420.089639990343</c:v>
                </c:pt>
                <c:pt idx="131">
                  <c:v>1410.258143641267</c:v>
                </c:pt>
                <c:pt idx="132">
                  <c:v>1400.56184121024</c:v>
                </c:pt>
                <c:pt idx="133">
                  <c:v>1390.997963141268</c:v>
                </c:pt>
                <c:pt idx="134">
                  <c:v>1381.563815014056</c:v>
                </c:pt>
                <c:pt idx="135">
                  <c:v>1372.256775013215</c:v>
                </c:pt>
                <c:pt idx="136">
                  <c:v>1363.074291499074</c:v>
                </c:pt>
                <c:pt idx="137">
                  <c:v>1354.013880675378</c:v>
                </c:pt>
                <c:pt idx="138">
                  <c:v>1345.073124349386</c:v>
                </c:pt>
                <c:pt idx="139">
                  <c:v>1336.249667780129</c:v>
                </c:pt>
                <c:pt idx="140">
                  <c:v>1327.541217610809</c:v>
                </c:pt>
                <c:pt idx="141">
                  <c:v>1318.945539881522</c:v>
                </c:pt>
                <c:pt idx="142">
                  <c:v>1310.460458118687</c:v>
                </c:pt>
                <c:pt idx="143">
                  <c:v>1302.083851497751</c:v>
                </c:pt>
                <c:pt idx="144">
                  <c:v>1293.813653075914</c:v>
                </c:pt>
                <c:pt idx="145">
                  <c:v>1285.647848091775</c:v>
                </c:pt>
                <c:pt idx="146">
                  <c:v>1277.584472328967</c:v>
                </c:pt>
                <c:pt idx="147">
                  <c:v>1269.621610540983</c:v>
                </c:pt>
                <c:pt idx="148">
                  <c:v>1261.757394934547</c:v>
                </c:pt>
                <c:pt idx="149">
                  <c:v>1253.990003708998</c:v>
                </c:pt>
                <c:pt idx="150">
                  <c:v>1246.3176596493</c:v>
                </c:pt>
                <c:pt idx="151">
                  <c:v>1238.738628770381</c:v>
                </c:pt>
                <c:pt idx="152">
                  <c:v>1231.251219010647</c:v>
                </c:pt>
                <c:pt idx="153">
                  <c:v>1223.853778972579</c:v>
                </c:pt>
                <c:pt idx="154">
                  <c:v>1216.544696708472</c:v>
                </c:pt>
                <c:pt idx="155">
                  <c:v>1209.322398549418</c:v>
                </c:pt>
                <c:pt idx="156">
                  <c:v>1202.185347975758</c:v>
                </c:pt>
                <c:pt idx="157">
                  <c:v>1195.132044527295</c:v>
                </c:pt>
                <c:pt idx="158">
                  <c:v>1188.161022751646</c:v>
                </c:pt>
                <c:pt idx="159">
                  <c:v>1181.270851189193</c:v>
                </c:pt>
                <c:pt idx="160">
                  <c:v>1174.460131393134</c:v>
                </c:pt>
                <c:pt idx="161">
                  <c:v>1167.727496983253</c:v>
                </c:pt>
                <c:pt idx="162">
                  <c:v>1161.071612732041</c:v>
                </c:pt>
                <c:pt idx="163">
                  <c:v>1154.491173681899</c:v>
                </c:pt>
                <c:pt idx="164">
                  <c:v>1147.984904292191</c:v>
                </c:pt>
                <c:pt idx="165">
                  <c:v>1141.551557614973</c:v>
                </c:pt>
                <c:pt idx="166">
                  <c:v>1135.189914498288</c:v>
                </c:pt>
                <c:pt idx="167">
                  <c:v>1128.898782815949</c:v>
                </c:pt>
                <c:pt idx="168">
                  <c:v>1122.676996722793</c:v>
                </c:pt>
                <c:pt idx="169">
                  <c:v>1116.523415934429</c:v>
                </c:pt>
                <c:pt idx="170">
                  <c:v>1110.436925030541</c:v>
                </c:pt>
                <c:pt idx="171">
                  <c:v>1104.416432780855</c:v>
                </c:pt>
                <c:pt idx="172">
                  <c:v>1098.46087149292</c:v>
                </c:pt>
                <c:pt idx="173">
                  <c:v>1092.569196380868</c:v>
                </c:pt>
                <c:pt idx="174">
                  <c:v>1086.740384954389</c:v>
                </c:pt>
                <c:pt idx="175">
                  <c:v>1080.973436427158</c:v>
                </c:pt>
                <c:pt idx="176">
                  <c:v>1075.267371143996</c:v>
                </c:pt>
                <c:pt idx="177">
                  <c:v>1069.621230026081</c:v>
                </c:pt>
                <c:pt idx="178">
                  <c:v>1064.034074033548</c:v>
                </c:pt>
                <c:pt idx="179">
                  <c:v>1058.504983644837</c:v>
                </c:pt>
                <c:pt idx="180">
                  <c:v>1053.033058352202</c:v>
                </c:pt>
                <c:pt idx="181">
                  <c:v>1047.617416172775</c:v>
                </c:pt>
                <c:pt idx="182">
                  <c:v>1042.257193174647</c:v>
                </c:pt>
                <c:pt idx="183">
                  <c:v>1036.951543017425</c:v>
                </c:pt>
                <c:pt idx="184">
                  <c:v>1031.699636506744</c:v>
                </c:pt>
                <c:pt idx="185">
                  <c:v>1026.500661162256</c:v>
                </c:pt>
                <c:pt idx="186">
                  <c:v>1021.353820798611</c:v>
                </c:pt>
                <c:pt idx="187">
                  <c:v>1016.258335118983</c:v>
                </c:pt>
                <c:pt idx="188">
                  <c:v>1011.213439320701</c:v>
                </c:pt>
                <c:pt idx="189">
                  <c:v>1006.218383712571</c:v>
                </c:pt>
                <c:pt idx="190">
                  <c:v>1001.272433343479</c:v>
                </c:pt>
                <c:pt idx="191">
                  <c:v>996.374867641902</c:v>
                </c:pt>
                <c:pt idx="192">
                  <c:v>991.5249800659374</c:v>
                </c:pt>
                <c:pt idx="193">
                  <c:v>986.7220777635133</c:v>
                </c:pt>
                <c:pt idx="194">
                  <c:v>981.9654812424184</c:v>
                </c:pt>
                <c:pt idx="195">
                  <c:v>977.254524049836</c:v>
                </c:pt>
                <c:pt idx="196">
                  <c:v>972.5885524610564</c:v>
                </c:pt>
                <c:pt idx="197">
                  <c:v>967.966925177063</c:v>
                </c:pt>
                <c:pt idx="198">
                  <c:v>963.389013030703</c:v>
                </c:pt>
                <c:pt idx="199">
                  <c:v>958.8541987011541</c:v>
                </c:pt>
                <c:pt idx="200">
                  <c:v>954.361876436419</c:v>
                </c:pt>
                <c:pt idx="201">
                  <c:v>949.9114517835839</c:v>
                </c:pt>
                <c:pt idx="202">
                  <c:v>945.5023413265886</c:v>
                </c:pt>
                <c:pt idx="203">
                  <c:v>941.1339724312682</c:v>
                </c:pt>
                <c:pt idx="204">
                  <c:v>936.8057829974266</c:v>
                </c:pt>
                <c:pt idx="205">
                  <c:v>932.5172212177223</c:v>
                </c:pt>
                <c:pt idx="206">
                  <c:v>928.2677453431465</c:v>
                </c:pt>
                <c:pt idx="207">
                  <c:v>924.0568234548824</c:v>
                </c:pt>
                <c:pt idx="208">
                  <c:v>919.8839332423494</c:v>
                </c:pt>
                <c:pt idx="209">
                  <c:v>915.7485617872305</c:v>
                </c:pt>
                <c:pt idx="210">
                  <c:v>911.650205353302</c:v>
                </c:pt>
                <c:pt idx="211">
                  <c:v>907.5883691818796</c:v>
                </c:pt>
                <c:pt idx="212">
                  <c:v>903.5625672927104</c:v>
                </c:pt>
                <c:pt idx="213">
                  <c:v>899.5723222901391</c:v>
                </c:pt>
                <c:pt idx="214">
                  <c:v>895.6171651743878</c:v>
                </c:pt>
                <c:pt idx="215">
                  <c:v>891.6966351577937</c:v>
                </c:pt>
                <c:pt idx="216">
                  <c:v>887.8102794858505</c:v>
                </c:pt>
                <c:pt idx="217">
                  <c:v>883.957653262911</c:v>
                </c:pt>
                <c:pt idx="218">
                  <c:v>880.1383192824068</c:v>
                </c:pt>
                <c:pt idx="219">
                  <c:v>876.3518478614511</c:v>
                </c:pt>
                <c:pt idx="220">
                  <c:v>872.5978166796935</c:v>
                </c:pt>
                <c:pt idx="221">
                  <c:v>868.8758106222968</c:v>
                </c:pt>
                <c:pt idx="222">
                  <c:v>865.1854216269176</c:v>
                </c:pt>
                <c:pt idx="223">
                  <c:v>861.5262485345685</c:v>
                </c:pt>
                <c:pt idx="224">
                  <c:v>857.8978969442488</c:v>
                </c:pt>
                <c:pt idx="225">
                  <c:v>854.299979071235</c:v>
                </c:pt>
                <c:pt idx="226">
                  <c:v>850.7321136089193</c:v>
                </c:pt>
                <c:pt idx="227">
                  <c:v>847.1939255940997</c:v>
                </c:pt>
                <c:pt idx="228">
                  <c:v>843.6850462756126</c:v>
                </c:pt>
                <c:pt idx="229">
                  <c:v>840.205112986222</c:v>
                </c:pt>
                <c:pt idx="230">
                  <c:v>836.753769017662</c:v>
                </c:pt>
                <c:pt idx="231">
                  <c:v>833.3306634987485</c:v>
                </c:pt>
                <c:pt idx="232">
                  <c:v>829.93545127647</c:v>
                </c:pt>
                <c:pt idx="233">
                  <c:v>826.5677927999731</c:v>
                </c:pt>
                <c:pt idx="234">
                  <c:v>823.227354007362</c:v>
                </c:pt>
                <c:pt idx="235">
                  <c:v>819.9138062152316</c:v>
                </c:pt>
                <c:pt idx="236">
                  <c:v>816.6268260108557</c:v>
                </c:pt>
                <c:pt idx="237">
                  <c:v>813.366095146962</c:v>
                </c:pt>
                <c:pt idx="238">
                  <c:v>810.1313004390146</c:v>
                </c:pt>
                <c:pt idx="239">
                  <c:v>806.9221336649392</c:v>
                </c:pt>
                <c:pt idx="240">
                  <c:v>803.7382914672227</c:v>
                </c:pt>
                <c:pt idx="241">
                  <c:v>800.57947525732</c:v>
                </c:pt>
                <c:pt idx="242">
                  <c:v>797.445391122308</c:v>
                </c:pt>
                <c:pt idx="243">
                  <c:v>794.3357497337209</c:v>
                </c:pt>
                <c:pt idx="244">
                  <c:v>791.2502662585136</c:v>
                </c:pt>
                <c:pt idx="245">
                  <c:v>788.18866027209</c:v>
                </c:pt>
                <c:pt idx="246">
                  <c:v>785.1506556733417</c:v>
                </c:pt>
                <c:pt idx="247">
                  <c:v>782.1359806016475</c:v>
                </c:pt>
                <c:pt idx="248">
                  <c:v>779.1443673557745</c:v>
                </c:pt>
                <c:pt idx="249">
                  <c:v>776.175552314634</c:v>
                </c:pt>
                <c:pt idx="250">
                  <c:v>773.2292758598436</c:v>
                </c:pt>
                <c:pt idx="251">
                  <c:v>770.3052823000447</c:v>
                </c:pt>
                <c:pt idx="252">
                  <c:v>767.4033197969319</c:v>
                </c:pt>
                <c:pt idx="253">
                  <c:v>764.5231402929464</c:v>
                </c:pt>
                <c:pt idx="254">
                  <c:v>761.6644994405943</c:v>
                </c:pt>
                <c:pt idx="255">
                  <c:v>758.8271565333421</c:v>
                </c:pt>
                <c:pt idx="256">
                  <c:v>756.0108744380522</c:v>
                </c:pt>
                <c:pt idx="257">
                  <c:v>753.2154195289182</c:v>
                </c:pt>
                <c:pt idx="258">
                  <c:v>750.4405616228579</c:v>
                </c:pt>
                <c:pt idx="259">
                  <c:v>747.6860739163323</c:v>
                </c:pt>
                <c:pt idx="260">
                  <c:v>744.9517329235488</c:v>
                </c:pt>
                <c:pt idx="261">
                  <c:v>742.237318416016</c:v>
                </c:pt>
                <c:pt idx="262">
                  <c:v>739.5426133634161</c:v>
                </c:pt>
                <c:pt idx="263">
                  <c:v>736.8674038757581</c:v>
                </c:pt>
                <c:pt idx="264">
                  <c:v>734.2114791467856</c:v>
                </c:pt>
                <c:pt idx="265">
                  <c:v>731.5746313986008</c:v>
                </c:pt>
                <c:pt idx="266">
                  <c:v>728.9566558274799</c:v>
                </c:pt>
                <c:pt idx="267">
                  <c:v>726.3573505508454</c:v>
                </c:pt>
                <c:pt idx="268">
                  <c:v>723.7765165553715</c:v>
                </c:pt>
                <c:pt idx="269">
                  <c:v>721.21395764619</c:v>
                </c:pt>
                <c:pt idx="270">
                  <c:v>718.669480397172</c:v>
                </c:pt>
                <c:pt idx="271">
                  <c:v>716.1428941022589</c:v>
                </c:pt>
                <c:pt idx="272">
                  <c:v>713.6340107278146</c:v>
                </c:pt>
                <c:pt idx="273">
                  <c:v>711.1426448659789</c:v>
                </c:pt>
                <c:pt idx="274">
                  <c:v>708.6686136889916</c:v>
                </c:pt>
                <c:pt idx="275">
                  <c:v>706.2117369044677</c:v>
                </c:pt>
                <c:pt idx="276">
                  <c:v>703.771836711601</c:v>
                </c:pt>
                <c:pt idx="277">
                  <c:v>701.34873775827</c:v>
                </c:pt>
                <c:pt idx="278">
                  <c:v>698.9422670990293</c:v>
                </c:pt>
                <c:pt idx="279">
                  <c:v>696.5522541539613</c:v>
                </c:pt>
                <c:pt idx="280">
                  <c:v>694.178530668369</c:v>
                </c:pt>
                <c:pt idx="281">
                  <c:v>691.8209306732938</c:v>
                </c:pt>
                <c:pt idx="282">
                  <c:v>689.4792904468276</c:v>
                </c:pt>
                <c:pt idx="283">
                  <c:v>687.153448476217</c:v>
                </c:pt>
                <c:pt idx="284">
                  <c:v>684.8432454207253</c:v>
                </c:pt>
                <c:pt idx="285">
                  <c:v>682.5485240752431</c:v>
                </c:pt>
                <c:pt idx="286">
                  <c:v>680.2691293346295</c:v>
                </c:pt>
                <c:pt idx="287">
                  <c:v>678.0049081587634</c:v>
                </c:pt>
                <c:pt idx="288">
                  <c:v>675.7557095382916</c:v>
                </c:pt>
                <c:pt idx="289">
                  <c:v>673.5213844610557</c:v>
                </c:pt>
                <c:pt idx="290">
                  <c:v>671.3017858791838</c:v>
                </c:pt>
                <c:pt idx="291">
                  <c:v>669.0967686768294</c:v>
                </c:pt>
                <c:pt idx="292">
                  <c:v>666.9061896385453</c:v>
                </c:pt>
                <c:pt idx="293">
                  <c:v>664.7299074182761</c:v>
                </c:pt>
                <c:pt idx="294">
                  <c:v>662.5677825089557</c:v>
                </c:pt>
                <c:pt idx="295">
                  <c:v>660.4196772126966</c:v>
                </c:pt>
                <c:pt idx="296">
                  <c:v>658.2854556115576</c:v>
                </c:pt>
                <c:pt idx="297">
                  <c:v>656.1649835388748</c:v>
                </c:pt>
                <c:pt idx="298">
                  <c:v>654.058128551147</c:v>
                </c:pt>
                <c:pt idx="299">
                  <c:v>651.9647599004596</c:v>
                </c:pt>
                <c:pt idx="300">
                  <c:v>649.884748507437</c:v>
                </c:pt>
                <c:pt idx="301">
                  <c:v>647.8179669347115</c:v>
                </c:pt>
                <c:pt idx="302">
                  <c:v>645.7642893608945</c:v>
                </c:pt>
                <c:pt idx="303">
                  <c:v>643.723591555045</c:v>
                </c:pt>
                <c:pt idx="304">
                  <c:v>641.6957508516177</c:v>
                </c:pt>
                <c:pt idx="305">
                  <c:v>639.6806461258843</c:v>
                </c:pt>
                <c:pt idx="306">
                  <c:v>637.6781577698156</c:v>
                </c:pt>
                <c:pt idx="307">
                  <c:v>635.6881676684174</c:v>
                </c:pt>
                <c:pt idx="308">
                  <c:v>633.7105591765048</c:v>
                </c:pt>
                <c:pt idx="309">
                  <c:v>631.7452170959115</c:v>
                </c:pt>
                <c:pt idx="310">
                  <c:v>629.7920276531201</c:v>
                </c:pt>
                <c:pt idx="311">
                  <c:v>627.8508784773077</c:v>
                </c:pt>
                <c:pt idx="312">
                  <c:v>625.9216585787947</c:v>
                </c:pt>
                <c:pt idx="313">
                  <c:v>624.00425832789</c:v>
                </c:pt>
                <c:pt idx="314">
                  <c:v>622.0985694341252</c:v>
                </c:pt>
                <c:pt idx="315">
                  <c:v>620.2044849258666</c:v>
                </c:pt>
                <c:pt idx="316">
                  <c:v>618.3218991302988</c:v>
                </c:pt>
                <c:pt idx="317">
                  <c:v>616.4507076537722</c:v>
                </c:pt>
                <c:pt idx="318">
                  <c:v>614.5908073625068</c:v>
                </c:pt>
                <c:pt idx="319">
                  <c:v>612.7420963636424</c:v>
                </c:pt>
                <c:pt idx="320">
                  <c:v>610.9044739866313</c:v>
                </c:pt>
                <c:pt idx="321">
                  <c:v>609.0778407649651</c:v>
                </c:pt>
                <c:pt idx="322">
                  <c:v>607.2620984182266</c:v>
                </c:pt>
              </c:numCache>
            </c:numRef>
          </c:yVal>
          <c:smooth val="1"/>
          <c:extLst xmlns:c16r2="http://schemas.microsoft.com/office/drawing/2015/06/chart">
            <c:ext xmlns:c16="http://schemas.microsoft.com/office/drawing/2014/chart" uri="{C3380CC4-5D6E-409C-BE32-E72D297353CC}">
              <c16:uniqueId val="{00000000-1A58-4BDC-884E-CE34CD9000E5}"/>
            </c:ext>
          </c:extLst>
        </c:ser>
        <c:ser>
          <c:idx val="1"/>
          <c:order val="1"/>
          <c:tx>
            <c:v>Production Data Decline Curve</c:v>
          </c:tx>
          <c:spPr>
            <a:ln w="28575">
              <a:solidFill>
                <a:schemeClr val="accent2">
                  <a:alpha val="20000"/>
                </a:schemeClr>
              </a:solidFill>
            </a:ln>
            <a:effectLst/>
          </c:spPr>
          <c:marker>
            <c:symbol val="circle"/>
            <c:size val="4"/>
            <c:spPr>
              <a:solidFill>
                <a:schemeClr val="accent2"/>
              </a:solidFill>
              <a:ln w="9525" cap="flat" cmpd="sng" algn="ctr">
                <a:solidFill>
                  <a:schemeClr val="accent2"/>
                </a:solidFill>
                <a:round/>
              </a:ln>
              <a:effectLst/>
            </c:spPr>
          </c:marker>
          <c:xVal>
            <c:numRef>
              <c:f>Harmonic!$C$25:$C$347</c:f>
              <c:numCache>
                <c:formatCode>General</c:formatCode>
                <c:ptCount val="323"/>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pt idx="20">
                  <c:v>21.0</c:v>
                </c:pt>
                <c:pt idx="21">
                  <c:v>22.0</c:v>
                </c:pt>
                <c:pt idx="22">
                  <c:v>23.0</c:v>
                </c:pt>
                <c:pt idx="23">
                  <c:v>24.0</c:v>
                </c:pt>
                <c:pt idx="24">
                  <c:v>25.0</c:v>
                </c:pt>
                <c:pt idx="25">
                  <c:v>26.0</c:v>
                </c:pt>
                <c:pt idx="26">
                  <c:v>27.0</c:v>
                </c:pt>
                <c:pt idx="27">
                  <c:v>28.0</c:v>
                </c:pt>
                <c:pt idx="28">
                  <c:v>29.0</c:v>
                </c:pt>
                <c:pt idx="29">
                  <c:v>30.0</c:v>
                </c:pt>
                <c:pt idx="30">
                  <c:v>31.0</c:v>
                </c:pt>
                <c:pt idx="31">
                  <c:v>32.0</c:v>
                </c:pt>
                <c:pt idx="32">
                  <c:v>33.0</c:v>
                </c:pt>
                <c:pt idx="33">
                  <c:v>34.0</c:v>
                </c:pt>
                <c:pt idx="34">
                  <c:v>35.0</c:v>
                </c:pt>
                <c:pt idx="35">
                  <c:v>36.0</c:v>
                </c:pt>
                <c:pt idx="36">
                  <c:v>37.0</c:v>
                </c:pt>
                <c:pt idx="37">
                  <c:v>38.0</c:v>
                </c:pt>
                <c:pt idx="38">
                  <c:v>39.0</c:v>
                </c:pt>
                <c:pt idx="39">
                  <c:v>40.0</c:v>
                </c:pt>
                <c:pt idx="40">
                  <c:v>41.0</c:v>
                </c:pt>
                <c:pt idx="41">
                  <c:v>42.0</c:v>
                </c:pt>
                <c:pt idx="42">
                  <c:v>43.0</c:v>
                </c:pt>
                <c:pt idx="43">
                  <c:v>44.0</c:v>
                </c:pt>
                <c:pt idx="44">
                  <c:v>45.0</c:v>
                </c:pt>
                <c:pt idx="45">
                  <c:v>46.0</c:v>
                </c:pt>
                <c:pt idx="46">
                  <c:v>47.0</c:v>
                </c:pt>
                <c:pt idx="47">
                  <c:v>48.0</c:v>
                </c:pt>
                <c:pt idx="48">
                  <c:v>49.0</c:v>
                </c:pt>
                <c:pt idx="49">
                  <c:v>50.0</c:v>
                </c:pt>
                <c:pt idx="50">
                  <c:v>51.0</c:v>
                </c:pt>
                <c:pt idx="51">
                  <c:v>52.0</c:v>
                </c:pt>
                <c:pt idx="52">
                  <c:v>53.0</c:v>
                </c:pt>
                <c:pt idx="53">
                  <c:v>54.0</c:v>
                </c:pt>
                <c:pt idx="54">
                  <c:v>55.0</c:v>
                </c:pt>
                <c:pt idx="55">
                  <c:v>56.0</c:v>
                </c:pt>
                <c:pt idx="56">
                  <c:v>57.0</c:v>
                </c:pt>
                <c:pt idx="57">
                  <c:v>58.0</c:v>
                </c:pt>
                <c:pt idx="58">
                  <c:v>59.0</c:v>
                </c:pt>
                <c:pt idx="59">
                  <c:v>60.0</c:v>
                </c:pt>
                <c:pt idx="60">
                  <c:v>61.0</c:v>
                </c:pt>
                <c:pt idx="61">
                  <c:v>62.0</c:v>
                </c:pt>
                <c:pt idx="62">
                  <c:v>63.0</c:v>
                </c:pt>
                <c:pt idx="63">
                  <c:v>64.0</c:v>
                </c:pt>
                <c:pt idx="64">
                  <c:v>65.0</c:v>
                </c:pt>
                <c:pt idx="65">
                  <c:v>66.0</c:v>
                </c:pt>
                <c:pt idx="66">
                  <c:v>67.0</c:v>
                </c:pt>
                <c:pt idx="67">
                  <c:v>68.0</c:v>
                </c:pt>
                <c:pt idx="68">
                  <c:v>69.0</c:v>
                </c:pt>
                <c:pt idx="69">
                  <c:v>70.0</c:v>
                </c:pt>
                <c:pt idx="70">
                  <c:v>71.0</c:v>
                </c:pt>
                <c:pt idx="71">
                  <c:v>72.0</c:v>
                </c:pt>
                <c:pt idx="72">
                  <c:v>73.0</c:v>
                </c:pt>
                <c:pt idx="73">
                  <c:v>74.0</c:v>
                </c:pt>
                <c:pt idx="74">
                  <c:v>75.0</c:v>
                </c:pt>
                <c:pt idx="75">
                  <c:v>76.0</c:v>
                </c:pt>
                <c:pt idx="76">
                  <c:v>77.0</c:v>
                </c:pt>
                <c:pt idx="77">
                  <c:v>78.0</c:v>
                </c:pt>
                <c:pt idx="78">
                  <c:v>79.0</c:v>
                </c:pt>
                <c:pt idx="79">
                  <c:v>80.0</c:v>
                </c:pt>
                <c:pt idx="80">
                  <c:v>81.0</c:v>
                </c:pt>
                <c:pt idx="81">
                  <c:v>82.0</c:v>
                </c:pt>
                <c:pt idx="82">
                  <c:v>83.0</c:v>
                </c:pt>
                <c:pt idx="83">
                  <c:v>84.0</c:v>
                </c:pt>
                <c:pt idx="84">
                  <c:v>85.0</c:v>
                </c:pt>
                <c:pt idx="85">
                  <c:v>86.0</c:v>
                </c:pt>
                <c:pt idx="86">
                  <c:v>87.0</c:v>
                </c:pt>
                <c:pt idx="87">
                  <c:v>88.0</c:v>
                </c:pt>
                <c:pt idx="88">
                  <c:v>89.0</c:v>
                </c:pt>
                <c:pt idx="89">
                  <c:v>90.0</c:v>
                </c:pt>
                <c:pt idx="90">
                  <c:v>91.0</c:v>
                </c:pt>
                <c:pt idx="91">
                  <c:v>92.0</c:v>
                </c:pt>
                <c:pt idx="92">
                  <c:v>93.0</c:v>
                </c:pt>
                <c:pt idx="93">
                  <c:v>94.0</c:v>
                </c:pt>
                <c:pt idx="94">
                  <c:v>95.0</c:v>
                </c:pt>
                <c:pt idx="95">
                  <c:v>96.0</c:v>
                </c:pt>
                <c:pt idx="96">
                  <c:v>97.0</c:v>
                </c:pt>
                <c:pt idx="97">
                  <c:v>98.0</c:v>
                </c:pt>
                <c:pt idx="98">
                  <c:v>99.0</c:v>
                </c:pt>
                <c:pt idx="99">
                  <c:v>100.0</c:v>
                </c:pt>
                <c:pt idx="100">
                  <c:v>101.0</c:v>
                </c:pt>
                <c:pt idx="101">
                  <c:v>102.0</c:v>
                </c:pt>
                <c:pt idx="102">
                  <c:v>103.0</c:v>
                </c:pt>
                <c:pt idx="103">
                  <c:v>104.0</c:v>
                </c:pt>
                <c:pt idx="104">
                  <c:v>105.0</c:v>
                </c:pt>
                <c:pt idx="105">
                  <c:v>106.0</c:v>
                </c:pt>
                <c:pt idx="106">
                  <c:v>107.0</c:v>
                </c:pt>
                <c:pt idx="107">
                  <c:v>108.0</c:v>
                </c:pt>
                <c:pt idx="108">
                  <c:v>109.0</c:v>
                </c:pt>
                <c:pt idx="109">
                  <c:v>110.0</c:v>
                </c:pt>
                <c:pt idx="110">
                  <c:v>111.0</c:v>
                </c:pt>
                <c:pt idx="111">
                  <c:v>112.0</c:v>
                </c:pt>
                <c:pt idx="112">
                  <c:v>113.0</c:v>
                </c:pt>
                <c:pt idx="113">
                  <c:v>114.0</c:v>
                </c:pt>
                <c:pt idx="114">
                  <c:v>115.0</c:v>
                </c:pt>
                <c:pt idx="115">
                  <c:v>116.0</c:v>
                </c:pt>
                <c:pt idx="116">
                  <c:v>117.0</c:v>
                </c:pt>
                <c:pt idx="117">
                  <c:v>118.0</c:v>
                </c:pt>
                <c:pt idx="118">
                  <c:v>119.0</c:v>
                </c:pt>
                <c:pt idx="119">
                  <c:v>120.0</c:v>
                </c:pt>
                <c:pt idx="120">
                  <c:v>121.0</c:v>
                </c:pt>
                <c:pt idx="121">
                  <c:v>122.0</c:v>
                </c:pt>
                <c:pt idx="122">
                  <c:v>123.0</c:v>
                </c:pt>
                <c:pt idx="123">
                  <c:v>124.0</c:v>
                </c:pt>
                <c:pt idx="124">
                  <c:v>125.0</c:v>
                </c:pt>
                <c:pt idx="125">
                  <c:v>126.0</c:v>
                </c:pt>
                <c:pt idx="126">
                  <c:v>127.0</c:v>
                </c:pt>
                <c:pt idx="127">
                  <c:v>128.0</c:v>
                </c:pt>
                <c:pt idx="128">
                  <c:v>129.0</c:v>
                </c:pt>
                <c:pt idx="129">
                  <c:v>130.0</c:v>
                </c:pt>
                <c:pt idx="130">
                  <c:v>131.0</c:v>
                </c:pt>
                <c:pt idx="131">
                  <c:v>132.0</c:v>
                </c:pt>
                <c:pt idx="132">
                  <c:v>133.0</c:v>
                </c:pt>
                <c:pt idx="133">
                  <c:v>134.0</c:v>
                </c:pt>
                <c:pt idx="134">
                  <c:v>135.0</c:v>
                </c:pt>
                <c:pt idx="135">
                  <c:v>136.0</c:v>
                </c:pt>
                <c:pt idx="136">
                  <c:v>137.0</c:v>
                </c:pt>
                <c:pt idx="137">
                  <c:v>138.0</c:v>
                </c:pt>
                <c:pt idx="138">
                  <c:v>139.0</c:v>
                </c:pt>
                <c:pt idx="139">
                  <c:v>140.0</c:v>
                </c:pt>
                <c:pt idx="140">
                  <c:v>141.0</c:v>
                </c:pt>
                <c:pt idx="141">
                  <c:v>142.0</c:v>
                </c:pt>
                <c:pt idx="142">
                  <c:v>143.0</c:v>
                </c:pt>
                <c:pt idx="143">
                  <c:v>144.0</c:v>
                </c:pt>
                <c:pt idx="144">
                  <c:v>145.0</c:v>
                </c:pt>
                <c:pt idx="145">
                  <c:v>146.0</c:v>
                </c:pt>
                <c:pt idx="146">
                  <c:v>147.0</c:v>
                </c:pt>
                <c:pt idx="147">
                  <c:v>148.0</c:v>
                </c:pt>
                <c:pt idx="148">
                  <c:v>149.0</c:v>
                </c:pt>
                <c:pt idx="149">
                  <c:v>150.0</c:v>
                </c:pt>
                <c:pt idx="150">
                  <c:v>151.0</c:v>
                </c:pt>
                <c:pt idx="151">
                  <c:v>152.0</c:v>
                </c:pt>
                <c:pt idx="152">
                  <c:v>153.0</c:v>
                </c:pt>
                <c:pt idx="153">
                  <c:v>154.0</c:v>
                </c:pt>
                <c:pt idx="154">
                  <c:v>155.0</c:v>
                </c:pt>
                <c:pt idx="155">
                  <c:v>156.0</c:v>
                </c:pt>
                <c:pt idx="156">
                  <c:v>157.0</c:v>
                </c:pt>
                <c:pt idx="157">
                  <c:v>158.0</c:v>
                </c:pt>
                <c:pt idx="158">
                  <c:v>159.0</c:v>
                </c:pt>
                <c:pt idx="159">
                  <c:v>160.0</c:v>
                </c:pt>
                <c:pt idx="160">
                  <c:v>161.0</c:v>
                </c:pt>
                <c:pt idx="161">
                  <c:v>162.0</c:v>
                </c:pt>
                <c:pt idx="162">
                  <c:v>163.0</c:v>
                </c:pt>
                <c:pt idx="163">
                  <c:v>164.0</c:v>
                </c:pt>
                <c:pt idx="164">
                  <c:v>165.0</c:v>
                </c:pt>
                <c:pt idx="165">
                  <c:v>166.0</c:v>
                </c:pt>
                <c:pt idx="166">
                  <c:v>167.0</c:v>
                </c:pt>
                <c:pt idx="167">
                  <c:v>168.0</c:v>
                </c:pt>
                <c:pt idx="168">
                  <c:v>169.0</c:v>
                </c:pt>
                <c:pt idx="169">
                  <c:v>170.0</c:v>
                </c:pt>
                <c:pt idx="170">
                  <c:v>171.0</c:v>
                </c:pt>
                <c:pt idx="171">
                  <c:v>172.0</c:v>
                </c:pt>
                <c:pt idx="172">
                  <c:v>173.0</c:v>
                </c:pt>
                <c:pt idx="173">
                  <c:v>174.0</c:v>
                </c:pt>
                <c:pt idx="174">
                  <c:v>175.0</c:v>
                </c:pt>
                <c:pt idx="175">
                  <c:v>176.0</c:v>
                </c:pt>
                <c:pt idx="176">
                  <c:v>177.0</c:v>
                </c:pt>
                <c:pt idx="177">
                  <c:v>178.0</c:v>
                </c:pt>
                <c:pt idx="178">
                  <c:v>179.0</c:v>
                </c:pt>
                <c:pt idx="179">
                  <c:v>180.0</c:v>
                </c:pt>
                <c:pt idx="180">
                  <c:v>181.0</c:v>
                </c:pt>
                <c:pt idx="181">
                  <c:v>182.0</c:v>
                </c:pt>
                <c:pt idx="182">
                  <c:v>183.0</c:v>
                </c:pt>
                <c:pt idx="183">
                  <c:v>184.0</c:v>
                </c:pt>
                <c:pt idx="184">
                  <c:v>185.0</c:v>
                </c:pt>
                <c:pt idx="185">
                  <c:v>186.0</c:v>
                </c:pt>
                <c:pt idx="186">
                  <c:v>187.0</c:v>
                </c:pt>
                <c:pt idx="187">
                  <c:v>188.0</c:v>
                </c:pt>
                <c:pt idx="188">
                  <c:v>189.0</c:v>
                </c:pt>
                <c:pt idx="189">
                  <c:v>190.0</c:v>
                </c:pt>
                <c:pt idx="190">
                  <c:v>191.0</c:v>
                </c:pt>
                <c:pt idx="191">
                  <c:v>192.0</c:v>
                </c:pt>
                <c:pt idx="192">
                  <c:v>193.0</c:v>
                </c:pt>
                <c:pt idx="193">
                  <c:v>194.0</c:v>
                </c:pt>
                <c:pt idx="194">
                  <c:v>195.0</c:v>
                </c:pt>
                <c:pt idx="195">
                  <c:v>196.0</c:v>
                </c:pt>
                <c:pt idx="196">
                  <c:v>197.0</c:v>
                </c:pt>
                <c:pt idx="197">
                  <c:v>198.0</c:v>
                </c:pt>
                <c:pt idx="198">
                  <c:v>199.0</c:v>
                </c:pt>
                <c:pt idx="199">
                  <c:v>200.0</c:v>
                </c:pt>
                <c:pt idx="200">
                  <c:v>201.0</c:v>
                </c:pt>
                <c:pt idx="201">
                  <c:v>202.0</c:v>
                </c:pt>
                <c:pt idx="202">
                  <c:v>203.0</c:v>
                </c:pt>
                <c:pt idx="203">
                  <c:v>204.0</c:v>
                </c:pt>
                <c:pt idx="204">
                  <c:v>205.0</c:v>
                </c:pt>
                <c:pt idx="205">
                  <c:v>206.0</c:v>
                </c:pt>
                <c:pt idx="206">
                  <c:v>207.0</c:v>
                </c:pt>
                <c:pt idx="207">
                  <c:v>208.0</c:v>
                </c:pt>
                <c:pt idx="208">
                  <c:v>209.0</c:v>
                </c:pt>
                <c:pt idx="209">
                  <c:v>210.0</c:v>
                </c:pt>
                <c:pt idx="210">
                  <c:v>211.0</c:v>
                </c:pt>
                <c:pt idx="211">
                  <c:v>212.0</c:v>
                </c:pt>
                <c:pt idx="212">
                  <c:v>213.0</c:v>
                </c:pt>
                <c:pt idx="213">
                  <c:v>214.0</c:v>
                </c:pt>
                <c:pt idx="214">
                  <c:v>215.0</c:v>
                </c:pt>
                <c:pt idx="215">
                  <c:v>216.0</c:v>
                </c:pt>
                <c:pt idx="216">
                  <c:v>217.0</c:v>
                </c:pt>
                <c:pt idx="217">
                  <c:v>218.0</c:v>
                </c:pt>
                <c:pt idx="218">
                  <c:v>219.0</c:v>
                </c:pt>
                <c:pt idx="219">
                  <c:v>220.0</c:v>
                </c:pt>
                <c:pt idx="220">
                  <c:v>221.0</c:v>
                </c:pt>
                <c:pt idx="221">
                  <c:v>222.0</c:v>
                </c:pt>
                <c:pt idx="222">
                  <c:v>223.0</c:v>
                </c:pt>
                <c:pt idx="223">
                  <c:v>224.0</c:v>
                </c:pt>
                <c:pt idx="224">
                  <c:v>225.0</c:v>
                </c:pt>
                <c:pt idx="225">
                  <c:v>226.0</c:v>
                </c:pt>
                <c:pt idx="226">
                  <c:v>227.0</c:v>
                </c:pt>
                <c:pt idx="227">
                  <c:v>228.0</c:v>
                </c:pt>
                <c:pt idx="228">
                  <c:v>229.0</c:v>
                </c:pt>
                <c:pt idx="229">
                  <c:v>230.0</c:v>
                </c:pt>
                <c:pt idx="230">
                  <c:v>231.0</c:v>
                </c:pt>
                <c:pt idx="231">
                  <c:v>232.0</c:v>
                </c:pt>
                <c:pt idx="232">
                  <c:v>233.0</c:v>
                </c:pt>
                <c:pt idx="233">
                  <c:v>234.0</c:v>
                </c:pt>
                <c:pt idx="234">
                  <c:v>235.0</c:v>
                </c:pt>
                <c:pt idx="235">
                  <c:v>236.0</c:v>
                </c:pt>
                <c:pt idx="236">
                  <c:v>237.0</c:v>
                </c:pt>
                <c:pt idx="237">
                  <c:v>238.0</c:v>
                </c:pt>
                <c:pt idx="238">
                  <c:v>239.0</c:v>
                </c:pt>
                <c:pt idx="239">
                  <c:v>240.0</c:v>
                </c:pt>
                <c:pt idx="240">
                  <c:v>241.0</c:v>
                </c:pt>
                <c:pt idx="241">
                  <c:v>242.0</c:v>
                </c:pt>
                <c:pt idx="242">
                  <c:v>243.0</c:v>
                </c:pt>
                <c:pt idx="243">
                  <c:v>244.0</c:v>
                </c:pt>
                <c:pt idx="244">
                  <c:v>245.0</c:v>
                </c:pt>
                <c:pt idx="245">
                  <c:v>246.0</c:v>
                </c:pt>
                <c:pt idx="246">
                  <c:v>247.0</c:v>
                </c:pt>
                <c:pt idx="247">
                  <c:v>248.0</c:v>
                </c:pt>
                <c:pt idx="248">
                  <c:v>249.0</c:v>
                </c:pt>
                <c:pt idx="249">
                  <c:v>250.0</c:v>
                </c:pt>
                <c:pt idx="250">
                  <c:v>251.0</c:v>
                </c:pt>
                <c:pt idx="251">
                  <c:v>252.0</c:v>
                </c:pt>
                <c:pt idx="252">
                  <c:v>253.0</c:v>
                </c:pt>
                <c:pt idx="253">
                  <c:v>254.0</c:v>
                </c:pt>
                <c:pt idx="254">
                  <c:v>255.0</c:v>
                </c:pt>
                <c:pt idx="255">
                  <c:v>256.0</c:v>
                </c:pt>
                <c:pt idx="256">
                  <c:v>257.0</c:v>
                </c:pt>
                <c:pt idx="257">
                  <c:v>258.0</c:v>
                </c:pt>
                <c:pt idx="258">
                  <c:v>259.0</c:v>
                </c:pt>
                <c:pt idx="259">
                  <c:v>260.0</c:v>
                </c:pt>
                <c:pt idx="260">
                  <c:v>261.0</c:v>
                </c:pt>
                <c:pt idx="261">
                  <c:v>262.0</c:v>
                </c:pt>
                <c:pt idx="262">
                  <c:v>263.0</c:v>
                </c:pt>
                <c:pt idx="263">
                  <c:v>264.0</c:v>
                </c:pt>
                <c:pt idx="264">
                  <c:v>265.0</c:v>
                </c:pt>
                <c:pt idx="265">
                  <c:v>266.0</c:v>
                </c:pt>
                <c:pt idx="266">
                  <c:v>267.0</c:v>
                </c:pt>
                <c:pt idx="267">
                  <c:v>268.0</c:v>
                </c:pt>
                <c:pt idx="268">
                  <c:v>269.0</c:v>
                </c:pt>
                <c:pt idx="269">
                  <c:v>270.0</c:v>
                </c:pt>
                <c:pt idx="270">
                  <c:v>271.0</c:v>
                </c:pt>
                <c:pt idx="271">
                  <c:v>272.0</c:v>
                </c:pt>
                <c:pt idx="272">
                  <c:v>273.0</c:v>
                </c:pt>
                <c:pt idx="273">
                  <c:v>274.0</c:v>
                </c:pt>
                <c:pt idx="274">
                  <c:v>275.0</c:v>
                </c:pt>
                <c:pt idx="275">
                  <c:v>276.0</c:v>
                </c:pt>
                <c:pt idx="276">
                  <c:v>277.0</c:v>
                </c:pt>
                <c:pt idx="277">
                  <c:v>278.0</c:v>
                </c:pt>
                <c:pt idx="278">
                  <c:v>279.0</c:v>
                </c:pt>
                <c:pt idx="279">
                  <c:v>280.0</c:v>
                </c:pt>
                <c:pt idx="280">
                  <c:v>281.0</c:v>
                </c:pt>
                <c:pt idx="281">
                  <c:v>282.0</c:v>
                </c:pt>
                <c:pt idx="282">
                  <c:v>283.0</c:v>
                </c:pt>
                <c:pt idx="283">
                  <c:v>284.0</c:v>
                </c:pt>
                <c:pt idx="284">
                  <c:v>285.0</c:v>
                </c:pt>
                <c:pt idx="285">
                  <c:v>286.0</c:v>
                </c:pt>
                <c:pt idx="286">
                  <c:v>287.0</c:v>
                </c:pt>
                <c:pt idx="287">
                  <c:v>288.0</c:v>
                </c:pt>
                <c:pt idx="288">
                  <c:v>289.0</c:v>
                </c:pt>
                <c:pt idx="289">
                  <c:v>290.0</c:v>
                </c:pt>
                <c:pt idx="290">
                  <c:v>291.0</c:v>
                </c:pt>
                <c:pt idx="291">
                  <c:v>292.0</c:v>
                </c:pt>
                <c:pt idx="292">
                  <c:v>293.0</c:v>
                </c:pt>
                <c:pt idx="293">
                  <c:v>294.0</c:v>
                </c:pt>
                <c:pt idx="294">
                  <c:v>295.0</c:v>
                </c:pt>
                <c:pt idx="295">
                  <c:v>296.0</c:v>
                </c:pt>
                <c:pt idx="296">
                  <c:v>297.0</c:v>
                </c:pt>
                <c:pt idx="297">
                  <c:v>298.0</c:v>
                </c:pt>
                <c:pt idx="298">
                  <c:v>299.0</c:v>
                </c:pt>
                <c:pt idx="299">
                  <c:v>300.0</c:v>
                </c:pt>
                <c:pt idx="300">
                  <c:v>301.0</c:v>
                </c:pt>
                <c:pt idx="301">
                  <c:v>302.0</c:v>
                </c:pt>
                <c:pt idx="302">
                  <c:v>303.0</c:v>
                </c:pt>
                <c:pt idx="303">
                  <c:v>304.0</c:v>
                </c:pt>
                <c:pt idx="304">
                  <c:v>305.0</c:v>
                </c:pt>
                <c:pt idx="305">
                  <c:v>306.0</c:v>
                </c:pt>
                <c:pt idx="306">
                  <c:v>307.0</c:v>
                </c:pt>
                <c:pt idx="307">
                  <c:v>308.0</c:v>
                </c:pt>
                <c:pt idx="308">
                  <c:v>309.0</c:v>
                </c:pt>
                <c:pt idx="309">
                  <c:v>310.0</c:v>
                </c:pt>
                <c:pt idx="310">
                  <c:v>311.0</c:v>
                </c:pt>
                <c:pt idx="311">
                  <c:v>312.0</c:v>
                </c:pt>
                <c:pt idx="312">
                  <c:v>313.0</c:v>
                </c:pt>
                <c:pt idx="313">
                  <c:v>314.0</c:v>
                </c:pt>
                <c:pt idx="314">
                  <c:v>315.0</c:v>
                </c:pt>
                <c:pt idx="315">
                  <c:v>316.0</c:v>
                </c:pt>
                <c:pt idx="316">
                  <c:v>317.0</c:v>
                </c:pt>
                <c:pt idx="317">
                  <c:v>318.0</c:v>
                </c:pt>
                <c:pt idx="318">
                  <c:v>319.0</c:v>
                </c:pt>
                <c:pt idx="319">
                  <c:v>320.0</c:v>
                </c:pt>
                <c:pt idx="320">
                  <c:v>321.0</c:v>
                </c:pt>
                <c:pt idx="321">
                  <c:v>322.0</c:v>
                </c:pt>
                <c:pt idx="322">
                  <c:v>323.0</c:v>
                </c:pt>
              </c:numCache>
            </c:numRef>
          </c:xVal>
          <c:yVal>
            <c:numRef>
              <c:f>Harmonic!$D$25:$D$347</c:f>
              <c:numCache>
                <c:formatCode>General</c:formatCode>
                <c:ptCount val="323"/>
                <c:pt idx="0">
                  <c:v>13640.0</c:v>
                </c:pt>
                <c:pt idx="1">
                  <c:v>13211.0</c:v>
                </c:pt>
                <c:pt idx="2">
                  <c:v>12926.0</c:v>
                </c:pt>
                <c:pt idx="3">
                  <c:v>11397.0</c:v>
                </c:pt>
                <c:pt idx="4">
                  <c:v>11187.0</c:v>
                </c:pt>
                <c:pt idx="5">
                  <c:v>11742.0</c:v>
                </c:pt>
                <c:pt idx="6">
                  <c:v>10737.0</c:v>
                </c:pt>
                <c:pt idx="7">
                  <c:v>9727.0</c:v>
                </c:pt>
                <c:pt idx="8">
                  <c:v>9722.0</c:v>
                </c:pt>
                <c:pt idx="9">
                  <c:v>9616.0</c:v>
                </c:pt>
                <c:pt idx="10">
                  <c:v>9045.0</c:v>
                </c:pt>
                <c:pt idx="11">
                  <c:v>8533.0</c:v>
                </c:pt>
                <c:pt idx="12">
                  <c:v>8692.0</c:v>
                </c:pt>
                <c:pt idx="13">
                  <c:v>8489.0</c:v>
                </c:pt>
                <c:pt idx="14">
                  <c:v>8057.0</c:v>
                </c:pt>
                <c:pt idx="15">
                  <c:v>8484.0</c:v>
                </c:pt>
                <c:pt idx="16">
                  <c:v>8880.0</c:v>
                </c:pt>
                <c:pt idx="17">
                  <c:v>8875.0</c:v>
                </c:pt>
                <c:pt idx="18">
                  <c:v>8549.0</c:v>
                </c:pt>
                <c:pt idx="19">
                  <c:v>8154.0</c:v>
                </c:pt>
                <c:pt idx="20">
                  <c:v>7362.0</c:v>
                </c:pt>
                <c:pt idx="21">
                  <c:v>7424.0</c:v>
                </c:pt>
                <c:pt idx="22">
                  <c:v>6898.0</c:v>
                </c:pt>
                <c:pt idx="23">
                  <c:v>6492.0</c:v>
                </c:pt>
                <c:pt idx="24">
                  <c:v>6784.0</c:v>
                </c:pt>
                <c:pt idx="25">
                  <c:v>6251.0</c:v>
                </c:pt>
                <c:pt idx="26">
                  <c:v>5893.0</c:v>
                </c:pt>
                <c:pt idx="27">
                  <c:v>5556.0</c:v>
                </c:pt>
                <c:pt idx="28">
                  <c:v>5222.0</c:v>
                </c:pt>
                <c:pt idx="29">
                  <c:v>5608.0</c:v>
                </c:pt>
                <c:pt idx="30">
                  <c:v>5002.0</c:v>
                </c:pt>
                <c:pt idx="31">
                  <c:v>5187.0</c:v>
                </c:pt>
                <c:pt idx="32">
                  <c:v>4667.0</c:v>
                </c:pt>
                <c:pt idx="33">
                  <c:v>4369.0</c:v>
                </c:pt>
                <c:pt idx="34">
                  <c:v>4036.0</c:v>
                </c:pt>
                <c:pt idx="35">
                  <c:v>4149.0</c:v>
                </c:pt>
                <c:pt idx="36">
                  <c:v>3672.0</c:v>
                </c:pt>
                <c:pt idx="37">
                  <c:v>3464.0</c:v>
                </c:pt>
                <c:pt idx="38">
                  <c:v>3931.0</c:v>
                </c:pt>
                <c:pt idx="39">
                  <c:v>3627.0</c:v>
                </c:pt>
                <c:pt idx="40">
                  <c:v>2912.0</c:v>
                </c:pt>
                <c:pt idx="41">
                  <c:v>2994.0</c:v>
                </c:pt>
                <c:pt idx="42">
                  <c:v>3241.0</c:v>
                </c:pt>
                <c:pt idx="43">
                  <c:v>3503.0</c:v>
                </c:pt>
                <c:pt idx="44">
                  <c:v>3420.0</c:v>
                </c:pt>
                <c:pt idx="45">
                  <c:v>3751.0</c:v>
                </c:pt>
                <c:pt idx="46">
                  <c:v>3152.0</c:v>
                </c:pt>
                <c:pt idx="47">
                  <c:v>3242.0</c:v>
                </c:pt>
                <c:pt idx="48">
                  <c:v>2679.0</c:v>
                </c:pt>
                <c:pt idx="49">
                  <c:v>2715.0</c:v>
                </c:pt>
                <c:pt idx="50">
                  <c:v>2859.0</c:v>
                </c:pt>
                <c:pt idx="51">
                  <c:v>2632.0</c:v>
                </c:pt>
                <c:pt idx="52">
                  <c:v>2421.0</c:v>
                </c:pt>
                <c:pt idx="53">
                  <c:v>2793.0</c:v>
                </c:pt>
                <c:pt idx="54">
                  <c:v>2865.0</c:v>
                </c:pt>
                <c:pt idx="55">
                  <c:v>2857.0</c:v>
                </c:pt>
                <c:pt idx="56">
                  <c:v>2479.0</c:v>
                </c:pt>
                <c:pt idx="57">
                  <c:v>2610.0</c:v>
                </c:pt>
                <c:pt idx="58">
                  <c:v>2389.0</c:v>
                </c:pt>
                <c:pt idx="59">
                  <c:v>2383.0</c:v>
                </c:pt>
                <c:pt idx="60">
                  <c:v>1812.0</c:v>
                </c:pt>
                <c:pt idx="61">
                  <c:v>1291.0</c:v>
                </c:pt>
                <c:pt idx="62">
                  <c:v>1193.0</c:v>
                </c:pt>
                <c:pt idx="63">
                  <c:v>953.0</c:v>
                </c:pt>
                <c:pt idx="64">
                  <c:v>1330.0</c:v>
                </c:pt>
                <c:pt idx="65">
                  <c:v>2119.0</c:v>
                </c:pt>
                <c:pt idx="66">
                  <c:v>1984.0</c:v>
                </c:pt>
                <c:pt idx="67">
                  <c:v>1976.0</c:v>
                </c:pt>
                <c:pt idx="68">
                  <c:v>1760.0</c:v>
                </c:pt>
                <c:pt idx="69">
                  <c:v>2033.0</c:v>
                </c:pt>
                <c:pt idx="70">
                  <c:v>1918.0</c:v>
                </c:pt>
                <c:pt idx="71">
                  <c:v>1750.0</c:v>
                </c:pt>
                <c:pt idx="72">
                  <c:v>1903.0</c:v>
                </c:pt>
                <c:pt idx="73">
                  <c:v>1878.0</c:v>
                </c:pt>
                <c:pt idx="74">
                  <c:v>1643.0</c:v>
                </c:pt>
                <c:pt idx="75">
                  <c:v>1312.0</c:v>
                </c:pt>
                <c:pt idx="76">
                  <c:v>1417.0</c:v>
                </c:pt>
                <c:pt idx="77">
                  <c:v>1651.0</c:v>
                </c:pt>
                <c:pt idx="78">
                  <c:v>1715.0</c:v>
                </c:pt>
                <c:pt idx="79">
                  <c:v>1649.0</c:v>
                </c:pt>
                <c:pt idx="80">
                  <c:v>1532.0</c:v>
                </c:pt>
                <c:pt idx="81">
                  <c:v>1617.0</c:v>
                </c:pt>
                <c:pt idx="82">
                  <c:v>1569.0</c:v>
                </c:pt>
                <c:pt idx="83">
                  <c:v>1524.0</c:v>
                </c:pt>
                <c:pt idx="84">
                  <c:v>1625.0</c:v>
                </c:pt>
                <c:pt idx="85">
                  <c:v>1529.0</c:v>
                </c:pt>
                <c:pt idx="86">
                  <c:v>1613.0</c:v>
                </c:pt>
                <c:pt idx="87">
                  <c:v>1404.0</c:v>
                </c:pt>
                <c:pt idx="88">
                  <c:v>1371.0</c:v>
                </c:pt>
                <c:pt idx="89">
                  <c:v>1629.0</c:v>
                </c:pt>
                <c:pt idx="90">
                  <c:v>1542.0</c:v>
                </c:pt>
                <c:pt idx="91">
                  <c:v>1485.0</c:v>
                </c:pt>
                <c:pt idx="92">
                  <c:v>1453.0</c:v>
                </c:pt>
                <c:pt idx="93">
                  <c:v>1334.0</c:v>
                </c:pt>
                <c:pt idx="94">
                  <c:v>1365.0</c:v>
                </c:pt>
                <c:pt idx="95">
                  <c:v>1418.0</c:v>
                </c:pt>
                <c:pt idx="96">
                  <c:v>1487.0</c:v>
                </c:pt>
                <c:pt idx="97">
                  <c:v>1342.0</c:v>
                </c:pt>
                <c:pt idx="98">
                  <c:v>1287.0</c:v>
                </c:pt>
                <c:pt idx="99">
                  <c:v>731.0</c:v>
                </c:pt>
                <c:pt idx="100">
                  <c:v>1111.0</c:v>
                </c:pt>
                <c:pt idx="101">
                  <c:v>1249.0</c:v>
                </c:pt>
                <c:pt idx="102">
                  <c:v>1433.0</c:v>
                </c:pt>
                <c:pt idx="103">
                  <c:v>1691.0</c:v>
                </c:pt>
                <c:pt idx="104">
                  <c:v>1501.0</c:v>
                </c:pt>
                <c:pt idx="105">
                  <c:v>1167.0</c:v>
                </c:pt>
                <c:pt idx="106">
                  <c:v>1808.0</c:v>
                </c:pt>
                <c:pt idx="107">
                  <c:v>1779.0</c:v>
                </c:pt>
                <c:pt idx="108">
                  <c:v>1663.0</c:v>
                </c:pt>
                <c:pt idx="109">
                  <c:v>1518.0</c:v>
                </c:pt>
                <c:pt idx="110">
                  <c:v>1090.0</c:v>
                </c:pt>
                <c:pt idx="111">
                  <c:v>761.0</c:v>
                </c:pt>
                <c:pt idx="112">
                  <c:v>1581.0</c:v>
                </c:pt>
                <c:pt idx="113">
                  <c:v>1393.0</c:v>
                </c:pt>
                <c:pt idx="114">
                  <c:v>1624.0</c:v>
                </c:pt>
                <c:pt idx="115">
                  <c:v>1684.0</c:v>
                </c:pt>
                <c:pt idx="116">
                  <c:v>1403.0</c:v>
                </c:pt>
                <c:pt idx="117">
                  <c:v>1405.0</c:v>
                </c:pt>
                <c:pt idx="118">
                  <c:v>1663.0</c:v>
                </c:pt>
                <c:pt idx="119">
                  <c:v>972.0</c:v>
                </c:pt>
                <c:pt idx="120">
                  <c:v>1179.0</c:v>
                </c:pt>
                <c:pt idx="121">
                  <c:v>1312.0</c:v>
                </c:pt>
                <c:pt idx="122">
                  <c:v>1408.0</c:v>
                </c:pt>
                <c:pt idx="123">
                  <c:v>1524.0</c:v>
                </c:pt>
                <c:pt idx="124">
                  <c:v>1690.0</c:v>
                </c:pt>
                <c:pt idx="125">
                  <c:v>1448.0</c:v>
                </c:pt>
                <c:pt idx="126">
                  <c:v>1792.0</c:v>
                </c:pt>
                <c:pt idx="127">
                  <c:v>1545.0</c:v>
                </c:pt>
                <c:pt idx="128">
                  <c:v>1626.0</c:v>
                </c:pt>
                <c:pt idx="129">
                  <c:v>1848.0</c:v>
                </c:pt>
                <c:pt idx="130">
                  <c:v>1711.0</c:v>
                </c:pt>
                <c:pt idx="131">
                  <c:v>1482.0</c:v>
                </c:pt>
                <c:pt idx="132">
                  <c:v>1884.0</c:v>
                </c:pt>
                <c:pt idx="133">
                  <c:v>1331.0</c:v>
                </c:pt>
                <c:pt idx="134">
                  <c:v>930.0</c:v>
                </c:pt>
                <c:pt idx="135">
                  <c:v>1358.0</c:v>
                </c:pt>
                <c:pt idx="136">
                  <c:v>1465.0</c:v>
                </c:pt>
                <c:pt idx="137">
                  <c:v>1323.0</c:v>
                </c:pt>
                <c:pt idx="138">
                  <c:v>1395.0</c:v>
                </c:pt>
                <c:pt idx="139">
                  <c:v>1307.0</c:v>
                </c:pt>
                <c:pt idx="140">
                  <c:v>1649.0</c:v>
                </c:pt>
                <c:pt idx="141">
                  <c:v>1395.0</c:v>
                </c:pt>
                <c:pt idx="142">
                  <c:v>1434.0</c:v>
                </c:pt>
                <c:pt idx="143">
                  <c:v>1354.0</c:v>
                </c:pt>
                <c:pt idx="144">
                  <c:v>1052.0</c:v>
                </c:pt>
                <c:pt idx="145">
                  <c:v>597.0</c:v>
                </c:pt>
                <c:pt idx="146">
                  <c:v>459.0</c:v>
                </c:pt>
                <c:pt idx="147">
                  <c:v>819.0</c:v>
                </c:pt>
                <c:pt idx="148">
                  <c:v>1335.0</c:v>
                </c:pt>
                <c:pt idx="149">
                  <c:v>1188.0</c:v>
                </c:pt>
                <c:pt idx="150">
                  <c:v>1419.0</c:v>
                </c:pt>
                <c:pt idx="151">
                  <c:v>1385.0</c:v>
                </c:pt>
                <c:pt idx="152">
                  <c:v>1440.0</c:v>
                </c:pt>
                <c:pt idx="153">
                  <c:v>1228.0</c:v>
                </c:pt>
                <c:pt idx="154">
                  <c:v>1201.0</c:v>
                </c:pt>
                <c:pt idx="155">
                  <c:v>1254.0</c:v>
                </c:pt>
                <c:pt idx="156">
                  <c:v>1057.0</c:v>
                </c:pt>
                <c:pt idx="157">
                  <c:v>942.0</c:v>
                </c:pt>
                <c:pt idx="158">
                  <c:v>605.0</c:v>
                </c:pt>
                <c:pt idx="159">
                  <c:v>506.0</c:v>
                </c:pt>
                <c:pt idx="160">
                  <c:v>744.0</c:v>
                </c:pt>
                <c:pt idx="161">
                  <c:v>923.0</c:v>
                </c:pt>
                <c:pt idx="162">
                  <c:v>1036.0</c:v>
                </c:pt>
                <c:pt idx="163">
                  <c:v>1144.0</c:v>
                </c:pt>
                <c:pt idx="164">
                  <c:v>1163.0</c:v>
                </c:pt>
                <c:pt idx="165">
                  <c:v>1093.0</c:v>
                </c:pt>
                <c:pt idx="166">
                  <c:v>1241.0</c:v>
                </c:pt>
                <c:pt idx="167">
                  <c:v>1302.0</c:v>
                </c:pt>
                <c:pt idx="168">
                  <c:v>1235.0</c:v>
                </c:pt>
                <c:pt idx="169">
                  <c:v>1248.0</c:v>
                </c:pt>
                <c:pt idx="170">
                  <c:v>1047.0</c:v>
                </c:pt>
                <c:pt idx="171">
                  <c:v>1235.0</c:v>
                </c:pt>
                <c:pt idx="172">
                  <c:v>1206.0</c:v>
                </c:pt>
                <c:pt idx="173">
                  <c:v>1266.0</c:v>
                </c:pt>
                <c:pt idx="174">
                  <c:v>1287.0</c:v>
                </c:pt>
                <c:pt idx="175">
                  <c:v>1227.0</c:v>
                </c:pt>
                <c:pt idx="176">
                  <c:v>1110.0</c:v>
                </c:pt>
                <c:pt idx="177">
                  <c:v>1141.0</c:v>
                </c:pt>
                <c:pt idx="178">
                  <c:v>1172.0</c:v>
                </c:pt>
                <c:pt idx="179">
                  <c:v>833.0</c:v>
                </c:pt>
                <c:pt idx="180">
                  <c:v>910.0</c:v>
                </c:pt>
                <c:pt idx="181">
                  <c:v>998.0</c:v>
                </c:pt>
                <c:pt idx="182">
                  <c:v>1176.0</c:v>
                </c:pt>
                <c:pt idx="183">
                  <c:v>974.0</c:v>
                </c:pt>
                <c:pt idx="184">
                  <c:v>1293.0</c:v>
                </c:pt>
                <c:pt idx="185">
                  <c:v>1095.0</c:v>
                </c:pt>
                <c:pt idx="186">
                  <c:v>1109.0</c:v>
                </c:pt>
                <c:pt idx="187">
                  <c:v>954.0</c:v>
                </c:pt>
                <c:pt idx="188">
                  <c:v>1196.0</c:v>
                </c:pt>
                <c:pt idx="189">
                  <c:v>1153.0</c:v>
                </c:pt>
                <c:pt idx="190">
                  <c:v>1091.0</c:v>
                </c:pt>
                <c:pt idx="191">
                  <c:v>1026.0</c:v>
                </c:pt>
                <c:pt idx="192">
                  <c:v>1168.0</c:v>
                </c:pt>
                <c:pt idx="193">
                  <c:v>988.0</c:v>
                </c:pt>
                <c:pt idx="194">
                  <c:v>331.0</c:v>
                </c:pt>
                <c:pt idx="195">
                  <c:v>944.0</c:v>
                </c:pt>
                <c:pt idx="196">
                  <c:v>1190.0</c:v>
                </c:pt>
                <c:pt idx="197">
                  <c:v>982.0</c:v>
                </c:pt>
                <c:pt idx="198">
                  <c:v>1371.0</c:v>
                </c:pt>
                <c:pt idx="199">
                  <c:v>1292.0</c:v>
                </c:pt>
                <c:pt idx="200">
                  <c:v>1317.0</c:v>
                </c:pt>
                <c:pt idx="201">
                  <c:v>1226.0</c:v>
                </c:pt>
                <c:pt idx="202">
                  <c:v>1246.0</c:v>
                </c:pt>
                <c:pt idx="203">
                  <c:v>1110.0</c:v>
                </c:pt>
                <c:pt idx="204">
                  <c:v>1176.0</c:v>
                </c:pt>
                <c:pt idx="205">
                  <c:v>1027.0</c:v>
                </c:pt>
                <c:pt idx="206">
                  <c:v>1084.0</c:v>
                </c:pt>
                <c:pt idx="207">
                  <c:v>1090.0</c:v>
                </c:pt>
                <c:pt idx="208">
                  <c:v>1016.0</c:v>
                </c:pt>
                <c:pt idx="209">
                  <c:v>889.0</c:v>
                </c:pt>
                <c:pt idx="210">
                  <c:v>852.0</c:v>
                </c:pt>
                <c:pt idx="211">
                  <c:v>882.0</c:v>
                </c:pt>
                <c:pt idx="212">
                  <c:v>990.0</c:v>
                </c:pt>
                <c:pt idx="213">
                  <c:v>1009.0</c:v>
                </c:pt>
                <c:pt idx="214">
                  <c:v>1038.0</c:v>
                </c:pt>
                <c:pt idx="215">
                  <c:v>1064.0</c:v>
                </c:pt>
                <c:pt idx="216">
                  <c:v>1096.0</c:v>
                </c:pt>
                <c:pt idx="217">
                  <c:v>738.0</c:v>
                </c:pt>
                <c:pt idx="218">
                  <c:v>987.0</c:v>
                </c:pt>
                <c:pt idx="219">
                  <c:v>818.0</c:v>
                </c:pt>
                <c:pt idx="220">
                  <c:v>993.0</c:v>
                </c:pt>
                <c:pt idx="221">
                  <c:v>993.0</c:v>
                </c:pt>
                <c:pt idx="222">
                  <c:v>879.0</c:v>
                </c:pt>
                <c:pt idx="223">
                  <c:v>853.0</c:v>
                </c:pt>
                <c:pt idx="224">
                  <c:v>819.0</c:v>
                </c:pt>
                <c:pt idx="225">
                  <c:v>776.0</c:v>
                </c:pt>
                <c:pt idx="226">
                  <c:v>807.0</c:v>
                </c:pt>
                <c:pt idx="227">
                  <c:v>806.0</c:v>
                </c:pt>
                <c:pt idx="228">
                  <c:v>874.0</c:v>
                </c:pt>
                <c:pt idx="229">
                  <c:v>884.0</c:v>
                </c:pt>
                <c:pt idx="230">
                  <c:v>962.0</c:v>
                </c:pt>
                <c:pt idx="231">
                  <c:v>609.0</c:v>
                </c:pt>
                <c:pt idx="232">
                  <c:v>918.0</c:v>
                </c:pt>
                <c:pt idx="233">
                  <c:v>845.0</c:v>
                </c:pt>
                <c:pt idx="234">
                  <c:v>839.0</c:v>
                </c:pt>
                <c:pt idx="235">
                  <c:v>839.0</c:v>
                </c:pt>
                <c:pt idx="236">
                  <c:v>935.0</c:v>
                </c:pt>
                <c:pt idx="237">
                  <c:v>858.0</c:v>
                </c:pt>
                <c:pt idx="238">
                  <c:v>784.0</c:v>
                </c:pt>
                <c:pt idx="239">
                  <c:v>840.0</c:v>
                </c:pt>
                <c:pt idx="240">
                  <c:v>756.0</c:v>
                </c:pt>
                <c:pt idx="241">
                  <c:v>802.0</c:v>
                </c:pt>
                <c:pt idx="242">
                  <c:v>866.0</c:v>
                </c:pt>
                <c:pt idx="243">
                  <c:v>690.0</c:v>
                </c:pt>
                <c:pt idx="244">
                  <c:v>856.0</c:v>
                </c:pt>
                <c:pt idx="245">
                  <c:v>898.0</c:v>
                </c:pt>
                <c:pt idx="246">
                  <c:v>840.0</c:v>
                </c:pt>
                <c:pt idx="247">
                  <c:v>718.0</c:v>
                </c:pt>
                <c:pt idx="248">
                  <c:v>728.0</c:v>
                </c:pt>
                <c:pt idx="249">
                  <c:v>627.0</c:v>
                </c:pt>
                <c:pt idx="250">
                  <c:v>748.0</c:v>
                </c:pt>
                <c:pt idx="251">
                  <c:v>849.0</c:v>
                </c:pt>
                <c:pt idx="252">
                  <c:v>567.0</c:v>
                </c:pt>
                <c:pt idx="253">
                  <c:v>713.0</c:v>
                </c:pt>
                <c:pt idx="254">
                  <c:v>665.0</c:v>
                </c:pt>
                <c:pt idx="255">
                  <c:v>744.0</c:v>
                </c:pt>
                <c:pt idx="256">
                  <c:v>880.0</c:v>
                </c:pt>
                <c:pt idx="257">
                  <c:v>774.0</c:v>
                </c:pt>
                <c:pt idx="258">
                  <c:v>860.0</c:v>
                </c:pt>
                <c:pt idx="259">
                  <c:v>811.0</c:v>
                </c:pt>
                <c:pt idx="260">
                  <c:v>803.0</c:v>
                </c:pt>
                <c:pt idx="261">
                  <c:v>726.0</c:v>
                </c:pt>
                <c:pt idx="262">
                  <c:v>726.0</c:v>
                </c:pt>
                <c:pt idx="263">
                  <c:v>610.0</c:v>
                </c:pt>
                <c:pt idx="264">
                  <c:v>752.0</c:v>
                </c:pt>
                <c:pt idx="265">
                  <c:v>760.0</c:v>
                </c:pt>
                <c:pt idx="266">
                  <c:v>695.0</c:v>
                </c:pt>
                <c:pt idx="267">
                  <c:v>619.0</c:v>
                </c:pt>
                <c:pt idx="268">
                  <c:v>799.0</c:v>
                </c:pt>
                <c:pt idx="269">
                  <c:v>829.0</c:v>
                </c:pt>
                <c:pt idx="270">
                  <c:v>783.0</c:v>
                </c:pt>
                <c:pt idx="271">
                  <c:v>710.0</c:v>
                </c:pt>
                <c:pt idx="272">
                  <c:v>758.0</c:v>
                </c:pt>
                <c:pt idx="273">
                  <c:v>695.0</c:v>
                </c:pt>
                <c:pt idx="274">
                  <c:v>949.0</c:v>
                </c:pt>
                <c:pt idx="275">
                  <c:v>656.0</c:v>
                </c:pt>
                <c:pt idx="276">
                  <c:v>607.0</c:v>
                </c:pt>
                <c:pt idx="277">
                  <c:v>770.0</c:v>
                </c:pt>
                <c:pt idx="278">
                  <c:v>579.0</c:v>
                </c:pt>
                <c:pt idx="279">
                  <c:v>429.0</c:v>
                </c:pt>
                <c:pt idx="280">
                  <c:v>916.0</c:v>
                </c:pt>
                <c:pt idx="281">
                  <c:v>550.0</c:v>
                </c:pt>
                <c:pt idx="282">
                  <c:v>583.0</c:v>
                </c:pt>
                <c:pt idx="283">
                  <c:v>676.0</c:v>
                </c:pt>
                <c:pt idx="284">
                  <c:v>743.0</c:v>
                </c:pt>
                <c:pt idx="285">
                  <c:v>1002.0</c:v>
                </c:pt>
                <c:pt idx="286">
                  <c:v>654.0</c:v>
                </c:pt>
                <c:pt idx="287">
                  <c:v>650.0</c:v>
                </c:pt>
                <c:pt idx="288">
                  <c:v>642.0</c:v>
                </c:pt>
                <c:pt idx="289">
                  <c:v>534.0</c:v>
                </c:pt>
                <c:pt idx="290">
                  <c:v>620.0</c:v>
                </c:pt>
                <c:pt idx="291">
                  <c:v>423.0</c:v>
                </c:pt>
                <c:pt idx="292">
                  <c:v>543.0</c:v>
                </c:pt>
                <c:pt idx="293">
                  <c:v>638.0</c:v>
                </c:pt>
                <c:pt idx="294">
                  <c:v>651.0</c:v>
                </c:pt>
                <c:pt idx="295">
                  <c:v>820.0</c:v>
                </c:pt>
                <c:pt idx="296">
                  <c:v>581.0</c:v>
                </c:pt>
                <c:pt idx="297">
                  <c:v>599.0</c:v>
                </c:pt>
                <c:pt idx="298">
                  <c:v>693.0</c:v>
                </c:pt>
                <c:pt idx="299">
                  <c:v>701.0</c:v>
                </c:pt>
                <c:pt idx="300">
                  <c:v>751.0</c:v>
                </c:pt>
                <c:pt idx="301">
                  <c:v>564.0</c:v>
                </c:pt>
                <c:pt idx="302">
                  <c:v>468.0</c:v>
                </c:pt>
                <c:pt idx="303">
                  <c:v>553.0</c:v>
                </c:pt>
                <c:pt idx="304">
                  <c:v>478.0</c:v>
                </c:pt>
                <c:pt idx="305">
                  <c:v>507.0</c:v>
                </c:pt>
                <c:pt idx="306">
                  <c:v>700.0</c:v>
                </c:pt>
                <c:pt idx="307">
                  <c:v>621.0</c:v>
                </c:pt>
                <c:pt idx="308">
                  <c:v>693.0</c:v>
                </c:pt>
                <c:pt idx="309">
                  <c:v>652.0</c:v>
                </c:pt>
                <c:pt idx="310">
                  <c:v>611.0</c:v>
                </c:pt>
                <c:pt idx="311">
                  <c:v>661.0</c:v>
                </c:pt>
                <c:pt idx="312">
                  <c:v>593.0</c:v>
                </c:pt>
                <c:pt idx="313">
                  <c:v>649.0</c:v>
                </c:pt>
                <c:pt idx="314">
                  <c:v>697.0</c:v>
                </c:pt>
                <c:pt idx="315">
                  <c:v>670.0</c:v>
                </c:pt>
                <c:pt idx="316">
                  <c:v>650.0</c:v>
                </c:pt>
                <c:pt idx="317">
                  <c:v>597.0</c:v>
                </c:pt>
                <c:pt idx="318">
                  <c:v>554.0</c:v>
                </c:pt>
                <c:pt idx="319">
                  <c:v>522.0</c:v>
                </c:pt>
                <c:pt idx="320">
                  <c:v>612.0</c:v>
                </c:pt>
                <c:pt idx="321">
                  <c:v>684.0</c:v>
                </c:pt>
                <c:pt idx="322">
                  <c:v>597.0</c:v>
                </c:pt>
              </c:numCache>
            </c:numRef>
          </c:yVal>
          <c:smooth val="1"/>
          <c:extLst xmlns:c16r2="http://schemas.microsoft.com/office/drawing/2015/06/chart">
            <c:ext xmlns:c16="http://schemas.microsoft.com/office/drawing/2014/chart" uri="{C3380CC4-5D6E-409C-BE32-E72D297353CC}">
              <c16:uniqueId val="{00000001-1A58-4BDC-884E-CE34CD9000E5}"/>
            </c:ext>
          </c:extLst>
        </c:ser>
        <c:dLbls>
          <c:showLegendKey val="0"/>
          <c:showVal val="0"/>
          <c:showCatName val="0"/>
          <c:showSerName val="0"/>
          <c:showPercent val="0"/>
          <c:showBubbleSize val="0"/>
        </c:dLbls>
        <c:axId val="-1383602160"/>
        <c:axId val="-1350499552"/>
      </c:scatterChart>
      <c:valAx>
        <c:axId val="-1383602160"/>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US"/>
                  <a:t>Months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1350499552"/>
        <c:crosses val="autoZero"/>
        <c:crossBetween val="midCat"/>
      </c:valAx>
      <c:valAx>
        <c:axId val="-135049955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US"/>
                  <a:t>Production</a:t>
                </a:r>
                <a:r>
                  <a:rPr lang="en-US" baseline="0"/>
                  <a:t> Data (STB/month)</a:t>
                </a:r>
                <a:endParaRPr lang="en-US"/>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1383602160"/>
        <c:crosses val="autoZero"/>
        <c:crossBetween val="midCat"/>
      </c:valAx>
      <c:spPr>
        <a:noFill/>
        <a:ln>
          <a:noFill/>
        </a:ln>
        <a:effectLst/>
      </c:spPr>
    </c:plotArea>
    <c:legend>
      <c:legendPos val="r"/>
      <c:layout>
        <c:manualLayout>
          <c:xMode val="edge"/>
          <c:yMode val="edge"/>
          <c:x val="0.502596046233692"/>
          <c:y val="0.197500326598329"/>
          <c:w val="0.19965636632855"/>
          <c:h val="0.115217439221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4">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a:solidFill>
          <a:schemeClr val="phClr">
            <a:alpha val="20000"/>
          </a:schemeClr>
        </a:solidFill>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165100</xdr:rowOff>
        </xdr:from>
        <xdr:to>
          <xdr:col>6</xdr:col>
          <xdr:colOff>800100</xdr:colOff>
          <xdr:row>2</xdr:row>
          <xdr:rowOff>12700</xdr:rowOff>
        </xdr:to>
        <xdr:sp macro="" textlink="">
          <xdr:nvSpPr>
            <xdr:cNvPr id="1028" name="Object 4" hidden="1">
              <a:extLst>
                <a:ext uri="{63B3BB69-23CF-44E3-9099-C40C66FF867C}">
                  <a14:compatExt spid="_x0000_s1028"/>
                </a:ext>
                <a:ext uri="{FF2B5EF4-FFF2-40B4-BE49-F238E27FC236}">
                  <a16:creationId xmlns="" xmlns:a16="http://schemas.microsoft.com/office/drawing/2014/main" id="{00000000-0008-0000-0000-000004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431800</xdr:colOff>
          <xdr:row>1</xdr:row>
          <xdr:rowOff>215900</xdr:rowOff>
        </xdr:from>
        <xdr:to>
          <xdr:col>11</xdr:col>
          <xdr:colOff>431800</xdr:colOff>
          <xdr:row>2</xdr:row>
          <xdr:rowOff>304800</xdr:rowOff>
        </xdr:to>
        <xdr:sp macro="" textlink="">
          <xdr:nvSpPr>
            <xdr:cNvPr id="1036" name="Button 12" hidden="1">
              <a:extLst>
                <a:ext uri="{63B3BB69-23CF-44E3-9099-C40C66FF867C}">
                  <a14:compatExt spid="_x0000_s1036"/>
                </a:ext>
                <a:ext uri="{FF2B5EF4-FFF2-40B4-BE49-F238E27FC236}">
                  <a16:creationId xmlns=""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Display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482600</xdr:colOff>
          <xdr:row>2</xdr:row>
          <xdr:rowOff>431800</xdr:rowOff>
        </xdr:from>
        <xdr:to>
          <xdr:col>11</xdr:col>
          <xdr:colOff>419100</xdr:colOff>
          <xdr:row>3</xdr:row>
          <xdr:rowOff>190500</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Solver</a:t>
              </a:r>
            </a:p>
          </xdr:txBody>
        </xdr:sp>
        <xdr:clientData fPrintsWithSheet="0"/>
      </xdr:twoCellAnchor>
    </mc:Choice>
    <mc:Fallback/>
  </mc:AlternateContent>
  <xdr:twoCellAnchor>
    <xdr:from>
      <xdr:col>7</xdr:col>
      <xdr:colOff>146609</xdr:colOff>
      <xdr:row>7</xdr:row>
      <xdr:rowOff>56030</xdr:rowOff>
    </xdr:from>
    <xdr:to>
      <xdr:col>17</xdr:col>
      <xdr:colOff>709705</xdr:colOff>
      <xdr:row>26</xdr:row>
      <xdr:rowOff>12887</xdr:rowOff>
    </xdr:to>
    <xdr:graphicFrame macro="">
      <xdr:nvGraphicFramePr>
        <xdr:cNvPr id="9" name="Chart 8">
          <a:extLst>
            <a:ext uri="{FF2B5EF4-FFF2-40B4-BE49-F238E27FC236}">
              <a16:creationId xmlns=""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270809</xdr:colOff>
      <xdr:row>7</xdr:row>
      <xdr:rowOff>65367</xdr:rowOff>
    </xdr:from>
    <xdr:to>
      <xdr:col>24</xdr:col>
      <xdr:colOff>700368</xdr:colOff>
      <xdr:row>17</xdr:row>
      <xdr:rowOff>149412</xdr:rowOff>
    </xdr:to>
    <xdr:sp macro="" textlink="">
      <xdr:nvSpPr>
        <xdr:cNvPr id="2" name="TextBox 1">
          <a:extLst>
            <a:ext uri="{FF2B5EF4-FFF2-40B4-BE49-F238E27FC236}">
              <a16:creationId xmlns="" xmlns:a16="http://schemas.microsoft.com/office/drawing/2014/main" id="{BD9E64E4-252A-4FEE-85F5-456F90092980}"/>
            </a:ext>
          </a:extLst>
        </xdr:cNvPr>
        <xdr:cNvSpPr txBox="1"/>
      </xdr:nvSpPr>
      <xdr:spPr>
        <a:xfrm>
          <a:off x="21160441" y="2493308"/>
          <a:ext cx="5472206" cy="2082428"/>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Overall</a:t>
          </a:r>
          <a:r>
            <a:rPr lang="en-US" sz="1100" b="1" u="sng" baseline="0"/>
            <a:t> Description of the Harmonic Declince Curve Program: </a:t>
          </a:r>
        </a:p>
        <a:p>
          <a:r>
            <a:rPr lang="en-US" sz="1100" baseline="0"/>
            <a:t>Harmonic Decline Curve Program have two main features: Solver and Display Chart. Solver feature will ask user to provide guessed initial values i.e d and q. Once user enters d and q value in the dialog box, it will automatically calculate the value of R square. The data values were written externally using production data of South Antler Creek (given by Dr. flori) Display Chart feature displays two graphs using data on the speadsheet  i.e. qt (Production) and qfit (Decline). Display Chart feature was coded with following process:</a:t>
          </a:r>
        </a:p>
        <a:p>
          <a:r>
            <a:rPr lang="en-US" sz="1100" baseline="0"/>
            <a:t>Series is selected on the spreadsheet</a:t>
          </a:r>
        </a:p>
        <a:p>
          <a:r>
            <a:rPr lang="en-US" sz="1100" baseline="0"/>
            <a:t>Image is converted to JPG</a:t>
          </a:r>
        </a:p>
        <a:p>
          <a:r>
            <a:rPr lang="en-US" sz="1100" baseline="0"/>
            <a:t>Image is displayed on the userform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oleObject" Target="../embeddings/oleObject1.bin"/><Relationship Id="rId5" Type="http://schemas.openxmlformats.org/officeDocument/2006/relationships/image" Target="../media/image1.wmf"/><Relationship Id="rId6" Type="http://schemas.openxmlformats.org/officeDocument/2006/relationships/ctrlProp" Target="../ctrlProps/ctrlProp1.xml"/><Relationship Id="rId7"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Q639"/>
  <sheetViews>
    <sheetView tabSelected="1" zoomScale="93" zoomScaleNormal="93" zoomScalePageLayoutView="93" workbookViewId="0">
      <selection activeCell="U6" sqref="U6"/>
    </sheetView>
  </sheetViews>
  <sheetFormatPr baseColWidth="10" defaultColWidth="11" defaultRowHeight="16" x14ac:dyDescent="0.2"/>
  <cols>
    <col min="1" max="1" width="42" customWidth="1"/>
    <col min="2" max="2" width="33.83203125" customWidth="1"/>
    <col min="4" max="4" width="23.5" customWidth="1"/>
    <col min="5" max="5" width="19.5" customWidth="1"/>
    <col min="8" max="8" width="11.83203125" bestFit="1" customWidth="1"/>
  </cols>
  <sheetData>
    <row r="1" spans="1:17" ht="21" x14ac:dyDescent="0.25">
      <c r="A1" s="4" t="s">
        <v>0</v>
      </c>
    </row>
    <row r="2" spans="1:17" ht="28" x14ac:dyDescent="0.2">
      <c r="F2" s="10" t="s">
        <v>1</v>
      </c>
    </row>
    <row r="3" spans="1:17" ht="52" x14ac:dyDescent="0.2">
      <c r="B3" s="8" t="s">
        <v>27</v>
      </c>
      <c r="C3" s="8"/>
      <c r="D3" s="8"/>
      <c r="E3" s="8"/>
      <c r="F3" s="9" t="s">
        <v>2</v>
      </c>
      <c r="G3" s="9" t="s">
        <v>3</v>
      </c>
      <c r="H3" s="9" t="s">
        <v>4</v>
      </c>
      <c r="I3" s="9" t="s">
        <v>5</v>
      </c>
      <c r="M3" s="6" t="s">
        <v>28</v>
      </c>
      <c r="N3" s="6"/>
      <c r="O3" s="6"/>
      <c r="P3" s="6"/>
      <c r="Q3" s="7"/>
    </row>
    <row r="4" spans="1:17" ht="21.75" customHeight="1" x14ac:dyDescent="0.25">
      <c r="C4" s="2" t="s">
        <v>6</v>
      </c>
      <c r="D4" s="3" t="s">
        <v>7</v>
      </c>
      <c r="E4" s="2" t="s">
        <v>8</v>
      </c>
      <c r="F4" s="3" t="s">
        <v>9</v>
      </c>
      <c r="G4" s="2" t="s">
        <v>10</v>
      </c>
      <c r="H4" s="3" t="s">
        <v>11</v>
      </c>
      <c r="I4" s="2" t="s">
        <v>12</v>
      </c>
      <c r="M4" s="6" t="s">
        <v>29</v>
      </c>
      <c r="N4" s="6"/>
      <c r="O4" s="6"/>
      <c r="P4" s="6"/>
      <c r="Q4" s="7"/>
    </row>
    <row r="5" spans="1:17" x14ac:dyDescent="0.2">
      <c r="C5" s="11"/>
      <c r="D5" s="5">
        <v>8.0367251016264837E-2</v>
      </c>
      <c r="E5" s="5">
        <v>16370.949413704182</v>
      </c>
      <c r="F5" s="5">
        <f>(1-H5/I5)</f>
        <v>0.96126475201056572</v>
      </c>
      <c r="G5" s="5">
        <f>AVERAGE(D25:D347)</f>
        <v>1994.6842105263158</v>
      </c>
      <c r="H5" s="5">
        <f>SUM(F25:F347)</f>
        <v>72359668.266223565</v>
      </c>
      <c r="I5" s="5">
        <f>SUM(G25:G347)</f>
        <v>1868057441.7894745</v>
      </c>
    </row>
    <row r="7" spans="1:17" ht="39" x14ac:dyDescent="0.2">
      <c r="A7" s="1" t="s">
        <v>13</v>
      </c>
      <c r="B7" s="1" t="s">
        <v>14</v>
      </c>
      <c r="C7" s="1" t="s">
        <v>15</v>
      </c>
      <c r="D7" s="1" t="s">
        <v>16</v>
      </c>
      <c r="E7" s="1" t="s">
        <v>17</v>
      </c>
      <c r="F7" s="1" t="s">
        <v>18</v>
      </c>
      <c r="G7" s="1" t="s">
        <v>19</v>
      </c>
    </row>
    <row r="8" spans="1:17" ht="20" x14ac:dyDescent="0.25">
      <c r="A8" s="2" t="s">
        <v>20</v>
      </c>
      <c r="B8" s="3" t="s">
        <v>21</v>
      </c>
      <c r="C8" s="2" t="s">
        <v>22</v>
      </c>
      <c r="D8" s="3" t="s">
        <v>23</v>
      </c>
      <c r="E8" s="2" t="s">
        <v>24</v>
      </c>
      <c r="F8" s="3" t="s">
        <v>25</v>
      </c>
      <c r="G8" s="2" t="s">
        <v>26</v>
      </c>
    </row>
    <row r="9" spans="1:17" x14ac:dyDescent="0.2">
      <c r="A9" s="12"/>
      <c r="B9" s="13">
        <v>5652</v>
      </c>
    </row>
    <row r="10" spans="1:17" x14ac:dyDescent="0.2">
      <c r="A10" s="14">
        <v>23559</v>
      </c>
      <c r="B10" s="15">
        <v>5376</v>
      </c>
    </row>
    <row r="11" spans="1:17" x14ac:dyDescent="0.2">
      <c r="A11" s="14">
        <v>23590</v>
      </c>
      <c r="B11" s="15">
        <v>7200</v>
      </c>
    </row>
    <row r="12" spans="1:17" x14ac:dyDescent="0.2">
      <c r="A12" s="14">
        <v>23621</v>
      </c>
      <c r="B12" s="15">
        <v>7152</v>
      </c>
      <c r="D12">
        <v>7152</v>
      </c>
      <c r="E12">
        <f t="shared" ref="E12:E75" si="0">$E$5/(1+$D$5*C12)</f>
        <v>16370.949413704182</v>
      </c>
      <c r="F12">
        <f>(D12-E12)^2</f>
        <v>84989028.292436674</v>
      </c>
      <c r="G12">
        <f>(D12-$G$5)^2</f>
        <v>26597906.152354572</v>
      </c>
    </row>
    <row r="13" spans="1:17" x14ac:dyDescent="0.2">
      <c r="A13" s="14">
        <v>23651</v>
      </c>
      <c r="B13" s="15">
        <v>7456</v>
      </c>
      <c r="D13">
        <f t="shared" ref="D13:D76" si="1">B13</f>
        <v>7456</v>
      </c>
      <c r="E13">
        <f t="shared" si="0"/>
        <v>16370.949413704182</v>
      </c>
      <c r="F13">
        <f t="shared" ref="F13:F76" si="2">(D13-E13)^2</f>
        <v>79476323.048904538</v>
      </c>
      <c r="G13">
        <f t="shared" ref="G13:G76" si="3">(D13-$G$5)^2</f>
        <v>29825970.152354572</v>
      </c>
    </row>
    <row r="14" spans="1:17" x14ac:dyDescent="0.2">
      <c r="A14" s="14">
        <v>23682</v>
      </c>
      <c r="B14" s="15">
        <v>8994</v>
      </c>
      <c r="D14">
        <f t="shared" si="1"/>
        <v>8994</v>
      </c>
      <c r="E14">
        <f t="shared" si="0"/>
        <v>16370.949413704182</v>
      </c>
      <c r="F14">
        <f t="shared" si="2"/>
        <v>54419382.652350478</v>
      </c>
      <c r="G14">
        <f t="shared" si="3"/>
        <v>48990421.520775624</v>
      </c>
    </row>
    <row r="15" spans="1:17" x14ac:dyDescent="0.2">
      <c r="A15" s="14">
        <v>23712</v>
      </c>
      <c r="B15" s="15">
        <v>8355</v>
      </c>
      <c r="D15">
        <f t="shared" si="1"/>
        <v>8355</v>
      </c>
      <c r="E15">
        <f t="shared" si="0"/>
        <v>16370.949413704182</v>
      </c>
      <c r="F15">
        <f t="shared" si="2"/>
        <v>64255445.003064416</v>
      </c>
      <c r="G15">
        <f t="shared" si="3"/>
        <v>40453616.941828251</v>
      </c>
    </row>
    <row r="16" spans="1:17" x14ac:dyDescent="0.2">
      <c r="A16" s="14">
        <v>23743</v>
      </c>
      <c r="B16" s="15">
        <v>8381</v>
      </c>
      <c r="D16">
        <f t="shared" si="1"/>
        <v>8381</v>
      </c>
      <c r="E16">
        <f t="shared" si="0"/>
        <v>16370.949413704182</v>
      </c>
      <c r="F16">
        <f t="shared" si="2"/>
        <v>63839291.633551799</v>
      </c>
      <c r="G16">
        <f t="shared" si="3"/>
        <v>40785029.362880886</v>
      </c>
    </row>
    <row r="17" spans="1:7" x14ac:dyDescent="0.2">
      <c r="A17" s="14">
        <v>23774</v>
      </c>
      <c r="B17" s="15">
        <v>6268</v>
      </c>
      <c r="D17">
        <f t="shared" si="1"/>
        <v>6268</v>
      </c>
      <c r="E17">
        <f t="shared" si="0"/>
        <v>16370.949413704182</v>
      </c>
      <c r="F17">
        <f t="shared" si="2"/>
        <v>102069586.85586567</v>
      </c>
      <c r="G17">
        <f t="shared" si="3"/>
        <v>18261227.836565096</v>
      </c>
    </row>
    <row r="18" spans="1:7" x14ac:dyDescent="0.2">
      <c r="A18" s="14">
        <v>23802</v>
      </c>
      <c r="B18" s="15">
        <v>8213</v>
      </c>
      <c r="D18">
        <f t="shared" si="1"/>
        <v>8213</v>
      </c>
      <c r="E18">
        <f t="shared" si="0"/>
        <v>16370.949413704182</v>
      </c>
      <c r="F18">
        <f t="shared" si="2"/>
        <v>66552138.636556409</v>
      </c>
      <c r="G18">
        <f t="shared" si="3"/>
        <v>38667451.257617727</v>
      </c>
    </row>
    <row r="19" spans="1:7" x14ac:dyDescent="0.2">
      <c r="A19" s="14">
        <v>23833</v>
      </c>
      <c r="B19" s="15">
        <v>10134</v>
      </c>
      <c r="D19">
        <f t="shared" si="1"/>
        <v>10134</v>
      </c>
      <c r="E19">
        <f t="shared" si="0"/>
        <v>16370.949413704182</v>
      </c>
      <c r="F19">
        <f t="shared" si="2"/>
        <v>38899537.989104941</v>
      </c>
      <c r="G19">
        <f t="shared" si="3"/>
        <v>66248461.520775624</v>
      </c>
    </row>
    <row r="20" spans="1:7" x14ac:dyDescent="0.2">
      <c r="A20" s="14">
        <v>23863</v>
      </c>
      <c r="B20" s="15">
        <v>8853</v>
      </c>
      <c r="D20">
        <f t="shared" si="1"/>
        <v>8853</v>
      </c>
      <c r="E20">
        <f t="shared" si="0"/>
        <v>16370.949413704182</v>
      </c>
      <c r="F20">
        <f t="shared" si="2"/>
        <v>56519563.387015052</v>
      </c>
      <c r="G20">
        <f t="shared" si="3"/>
        <v>47036495.468144044</v>
      </c>
    </row>
    <row r="21" spans="1:7" x14ac:dyDescent="0.2">
      <c r="A21" s="14">
        <v>23894</v>
      </c>
      <c r="B21" s="15">
        <v>8719</v>
      </c>
      <c r="D21">
        <f t="shared" si="1"/>
        <v>8719</v>
      </c>
      <c r="E21">
        <f t="shared" si="0"/>
        <v>16370.949413704182</v>
      </c>
      <c r="F21">
        <f t="shared" si="2"/>
        <v>58552329.829887778</v>
      </c>
      <c r="G21">
        <f t="shared" si="3"/>
        <v>45216422.8365651</v>
      </c>
    </row>
    <row r="22" spans="1:7" x14ac:dyDescent="0.2">
      <c r="A22" s="14">
        <v>23924</v>
      </c>
      <c r="B22" s="15">
        <v>11281</v>
      </c>
      <c r="D22">
        <f t="shared" si="1"/>
        <v>11281</v>
      </c>
      <c r="E22">
        <f t="shared" si="0"/>
        <v>16370.949413704182</v>
      </c>
      <c r="F22">
        <f t="shared" si="2"/>
        <v>25907585.034067545</v>
      </c>
      <c r="G22">
        <f t="shared" si="3"/>
        <v>86235660.941828236</v>
      </c>
    </row>
    <row r="23" spans="1:7" x14ac:dyDescent="0.2">
      <c r="A23" s="14">
        <v>23955</v>
      </c>
      <c r="B23" s="15">
        <v>11146</v>
      </c>
      <c r="D23">
        <f t="shared" si="1"/>
        <v>11146</v>
      </c>
      <c r="E23">
        <f t="shared" si="0"/>
        <v>16370.949413704182</v>
      </c>
      <c r="F23">
        <f t="shared" si="2"/>
        <v>27300096.375767674</v>
      </c>
      <c r="G23">
        <f t="shared" si="3"/>
        <v>83746580.678670347</v>
      </c>
    </row>
    <row r="24" spans="1:7" x14ac:dyDescent="0.2">
      <c r="A24" s="14">
        <v>23986</v>
      </c>
      <c r="B24" s="15">
        <v>10282</v>
      </c>
      <c r="D24">
        <f t="shared" si="1"/>
        <v>10282</v>
      </c>
      <c r="E24">
        <f t="shared" si="0"/>
        <v>16370.949413704182</v>
      </c>
      <c r="F24">
        <f t="shared" si="2"/>
        <v>37075304.962648503</v>
      </c>
      <c r="G24">
        <f t="shared" si="3"/>
        <v>68679602.994459823</v>
      </c>
    </row>
    <row r="25" spans="1:7" x14ac:dyDescent="0.2">
      <c r="A25" s="14">
        <v>24016</v>
      </c>
      <c r="B25" s="16">
        <v>13640</v>
      </c>
      <c r="C25" s="19">
        <v>1</v>
      </c>
      <c r="D25">
        <f t="shared" si="1"/>
        <v>13640</v>
      </c>
      <c r="E25">
        <f t="shared" si="0"/>
        <v>15153.133712915294</v>
      </c>
      <c r="F25">
        <f t="shared" si="2"/>
        <v>2289573.6331608244</v>
      </c>
      <c r="G25">
        <f t="shared" si="3"/>
        <v>135613379.83656508</v>
      </c>
    </row>
    <row r="26" spans="1:7" x14ac:dyDescent="0.2">
      <c r="A26" s="14">
        <v>24047</v>
      </c>
      <c r="B26" s="15">
        <v>13211</v>
      </c>
      <c r="C26">
        <v>2</v>
      </c>
      <c r="D26">
        <f t="shared" si="1"/>
        <v>13211</v>
      </c>
      <c r="E26">
        <f t="shared" si="0"/>
        <v>14103.956921274823</v>
      </c>
      <c r="F26">
        <f t="shared" si="2"/>
        <v>797372.06325261027</v>
      </c>
      <c r="G26">
        <f t="shared" si="3"/>
        <v>125805739.88919665</v>
      </c>
    </row>
    <row r="27" spans="1:7" x14ac:dyDescent="0.2">
      <c r="A27" s="14">
        <v>24077</v>
      </c>
      <c r="B27" s="15">
        <v>12926</v>
      </c>
      <c r="C27">
        <v>3</v>
      </c>
      <c r="D27">
        <f t="shared" si="1"/>
        <v>12926</v>
      </c>
      <c r="E27">
        <f t="shared" si="0"/>
        <v>13190.658520535142</v>
      </c>
      <c r="F27">
        <f t="shared" si="2"/>
        <v>70044.132491850221</v>
      </c>
      <c r="G27">
        <f t="shared" si="3"/>
        <v>119493664.88919665</v>
      </c>
    </row>
    <row r="28" spans="1:7" x14ac:dyDescent="0.2">
      <c r="A28" s="14">
        <v>24108</v>
      </c>
      <c r="B28" s="15">
        <v>11397</v>
      </c>
      <c r="C28">
        <v>4</v>
      </c>
      <c r="D28">
        <f t="shared" si="1"/>
        <v>11397</v>
      </c>
      <c r="E28">
        <f t="shared" si="0"/>
        <v>12388.447525703899</v>
      </c>
      <c r="F28">
        <f t="shared" si="2"/>
        <v>982968.19622438424</v>
      </c>
      <c r="G28">
        <f t="shared" si="3"/>
        <v>88403542.204986125</v>
      </c>
    </row>
    <row r="29" spans="1:7" x14ac:dyDescent="0.2">
      <c r="A29" s="14">
        <v>24139</v>
      </c>
      <c r="B29" s="15">
        <v>11187</v>
      </c>
      <c r="C29">
        <v>5</v>
      </c>
      <c r="D29">
        <f t="shared" si="1"/>
        <v>11187</v>
      </c>
      <c r="E29">
        <f t="shared" si="0"/>
        <v>11678.2180189472</v>
      </c>
      <c r="F29">
        <f t="shared" si="2"/>
        <v>241295.14213841184</v>
      </c>
      <c r="G29">
        <f t="shared" si="3"/>
        <v>84498669.573407188</v>
      </c>
    </row>
    <row r="30" spans="1:7" x14ac:dyDescent="0.2">
      <c r="A30" s="14">
        <v>24167</v>
      </c>
      <c r="B30" s="15">
        <v>11742</v>
      </c>
      <c r="C30">
        <v>6</v>
      </c>
      <c r="D30">
        <f t="shared" si="1"/>
        <v>11742</v>
      </c>
      <c r="E30">
        <f t="shared" si="0"/>
        <v>11045.007886134572</v>
      </c>
      <c r="F30">
        <f t="shared" si="2"/>
        <v>485798.00679059792</v>
      </c>
      <c r="G30">
        <f t="shared" si="3"/>
        <v>95010165.099722967</v>
      </c>
    </row>
    <row r="31" spans="1:7" x14ac:dyDescent="0.2">
      <c r="A31" s="14">
        <v>24198</v>
      </c>
      <c r="B31" s="15">
        <v>10737</v>
      </c>
      <c r="C31">
        <v>7</v>
      </c>
      <c r="D31">
        <f t="shared" si="1"/>
        <v>10737</v>
      </c>
      <c r="E31">
        <f t="shared" si="0"/>
        <v>10476.933181536138</v>
      </c>
      <c r="F31">
        <f t="shared" si="2"/>
        <v>67634.75006591517</v>
      </c>
      <c r="G31">
        <f t="shared" si="3"/>
        <v>76428085.362880871</v>
      </c>
    </row>
    <row r="32" spans="1:7" x14ac:dyDescent="0.2">
      <c r="A32" s="14">
        <v>24228</v>
      </c>
      <c r="B32" s="15">
        <v>9727</v>
      </c>
      <c r="C32">
        <v>8</v>
      </c>
      <c r="D32">
        <f t="shared" si="1"/>
        <v>9727</v>
      </c>
      <c r="E32">
        <f t="shared" si="0"/>
        <v>9964.4352572599455</v>
      </c>
      <c r="F32">
        <f t="shared" si="2"/>
        <v>56375.501390096506</v>
      </c>
      <c r="G32">
        <f t="shared" si="3"/>
        <v>59788707.468144044</v>
      </c>
    </row>
    <row r="33" spans="1:7" x14ac:dyDescent="0.2">
      <c r="A33" s="14">
        <v>24259</v>
      </c>
      <c r="B33" s="15">
        <v>9722</v>
      </c>
      <c r="C33">
        <v>9</v>
      </c>
      <c r="D33">
        <f t="shared" si="1"/>
        <v>9722</v>
      </c>
      <c r="E33">
        <f t="shared" si="0"/>
        <v>9499.7385557874495</v>
      </c>
      <c r="F33">
        <f t="shared" si="2"/>
        <v>49400.149583448692</v>
      </c>
      <c r="G33">
        <f t="shared" si="3"/>
        <v>59711409.310249306</v>
      </c>
    </row>
    <row r="34" spans="1:7" x14ac:dyDescent="0.2">
      <c r="A34" s="14">
        <v>24289</v>
      </c>
      <c r="B34" s="15">
        <v>9616</v>
      </c>
      <c r="C34">
        <v>10</v>
      </c>
      <c r="D34">
        <f t="shared" si="1"/>
        <v>9616</v>
      </c>
      <c r="E34">
        <f t="shared" si="0"/>
        <v>9076.4533591676864</v>
      </c>
      <c r="F34">
        <f t="shared" si="2"/>
        <v>291110.57763343368</v>
      </c>
      <c r="G34">
        <f t="shared" si="3"/>
        <v>58084454.362880886</v>
      </c>
    </row>
    <row r="35" spans="1:7" x14ac:dyDescent="0.2">
      <c r="A35" s="14">
        <v>24320</v>
      </c>
      <c r="B35" s="15">
        <v>9045</v>
      </c>
      <c r="C35">
        <v>11</v>
      </c>
      <c r="D35">
        <f t="shared" si="1"/>
        <v>9045</v>
      </c>
      <c r="E35">
        <f t="shared" si="0"/>
        <v>8689.2802110823159</v>
      </c>
      <c r="F35">
        <f t="shared" si="2"/>
        <v>126536.56822764175</v>
      </c>
      <c r="G35">
        <f t="shared" si="3"/>
        <v>49706952.731301941</v>
      </c>
    </row>
    <row r="36" spans="1:7" x14ac:dyDescent="0.2">
      <c r="A36" s="14">
        <v>24351</v>
      </c>
      <c r="B36" s="15">
        <v>8533</v>
      </c>
      <c r="C36">
        <v>12</v>
      </c>
      <c r="D36">
        <f t="shared" si="1"/>
        <v>8533</v>
      </c>
      <c r="E36">
        <f t="shared" si="0"/>
        <v>8333.7868945041264</v>
      </c>
      <c r="F36">
        <f t="shared" si="2"/>
        <v>39685.861401310067</v>
      </c>
      <c r="G36">
        <f t="shared" si="3"/>
        <v>42749573.362880886</v>
      </c>
    </row>
    <row r="37" spans="1:7" x14ac:dyDescent="0.2">
      <c r="A37" s="14">
        <v>24381</v>
      </c>
      <c r="B37" s="15">
        <v>8692</v>
      </c>
      <c r="C37">
        <v>13</v>
      </c>
      <c r="D37">
        <f t="shared" si="1"/>
        <v>8692</v>
      </c>
      <c r="E37">
        <f t="shared" si="0"/>
        <v>8006.238003011933</v>
      </c>
      <c r="F37">
        <f t="shared" si="2"/>
        <v>470269.51651306165</v>
      </c>
      <c r="G37">
        <f t="shared" si="3"/>
        <v>44854038.78393352</v>
      </c>
    </row>
    <row r="38" spans="1:7" x14ac:dyDescent="0.2">
      <c r="A38" s="14">
        <v>24412</v>
      </c>
      <c r="B38" s="15">
        <v>8489</v>
      </c>
      <c r="C38">
        <v>14</v>
      </c>
      <c r="D38">
        <f t="shared" si="1"/>
        <v>8489</v>
      </c>
      <c r="E38">
        <f t="shared" si="0"/>
        <v>7703.4631830876015</v>
      </c>
      <c r="F38">
        <f t="shared" si="2"/>
        <v>617068.09072486311</v>
      </c>
      <c r="G38">
        <f t="shared" si="3"/>
        <v>42176137.573407203</v>
      </c>
    </row>
    <row r="39" spans="1:7" x14ac:dyDescent="0.2">
      <c r="A39" s="14">
        <v>24442</v>
      </c>
      <c r="B39" s="15">
        <v>8057</v>
      </c>
      <c r="C39">
        <v>15</v>
      </c>
      <c r="D39">
        <f t="shared" si="1"/>
        <v>8057</v>
      </c>
      <c r="E39">
        <f t="shared" si="0"/>
        <v>7422.7541833837295</v>
      </c>
      <c r="F39">
        <f t="shared" si="2"/>
        <v>402267.75589523988</v>
      </c>
      <c r="G39">
        <f t="shared" si="3"/>
        <v>36751672.731301941</v>
      </c>
    </row>
    <row r="40" spans="1:7" x14ac:dyDescent="0.2">
      <c r="A40" s="14">
        <v>24473</v>
      </c>
      <c r="B40" s="15">
        <v>8484</v>
      </c>
      <c r="C40">
        <v>16</v>
      </c>
      <c r="D40">
        <f t="shared" si="1"/>
        <v>8484</v>
      </c>
      <c r="E40">
        <f t="shared" si="0"/>
        <v>7161.783621356486</v>
      </c>
      <c r="F40">
        <f t="shared" si="2"/>
        <v>1748256.1519531682</v>
      </c>
      <c r="G40">
        <f t="shared" si="3"/>
        <v>42111219.415512465</v>
      </c>
    </row>
    <row r="41" spans="1:7" x14ac:dyDescent="0.2">
      <c r="A41" s="14">
        <v>24504</v>
      </c>
      <c r="B41" s="15">
        <v>8880</v>
      </c>
      <c r="C41">
        <v>17</v>
      </c>
      <c r="D41">
        <f t="shared" si="1"/>
        <v>8880</v>
      </c>
      <c r="E41">
        <f t="shared" si="0"/>
        <v>6918.5403039928397</v>
      </c>
      <c r="F41">
        <f t="shared" si="2"/>
        <v>3847324.1390605019</v>
      </c>
      <c r="G41">
        <f t="shared" si="3"/>
        <v>47407573.520775624</v>
      </c>
    </row>
    <row r="42" spans="1:7" x14ac:dyDescent="0.2">
      <c r="A42" s="14">
        <v>24532</v>
      </c>
      <c r="B42" s="15">
        <v>8875</v>
      </c>
      <c r="C42">
        <v>18</v>
      </c>
      <c r="D42">
        <f t="shared" si="1"/>
        <v>8875</v>
      </c>
      <c r="E42">
        <f t="shared" si="0"/>
        <v>6691.2772962031368</v>
      </c>
      <c r="F42">
        <f t="shared" si="2"/>
        <v>4768644.8470778828</v>
      </c>
      <c r="G42">
        <f t="shared" si="3"/>
        <v>47338745.362880886</v>
      </c>
    </row>
    <row r="43" spans="1:7" x14ac:dyDescent="0.2">
      <c r="A43" s="14">
        <v>24563</v>
      </c>
      <c r="B43" s="15">
        <v>8549</v>
      </c>
      <c r="C43">
        <v>19</v>
      </c>
      <c r="D43">
        <f t="shared" si="1"/>
        <v>8549</v>
      </c>
      <c r="E43">
        <f t="shared" si="0"/>
        <v>6478.4698989182625</v>
      </c>
      <c r="F43">
        <f t="shared" si="2"/>
        <v>4287094.8994855499</v>
      </c>
      <c r="G43">
        <f t="shared" si="3"/>
        <v>42959055.468144044</v>
      </c>
    </row>
    <row r="44" spans="1:7" x14ac:dyDescent="0.2">
      <c r="A44" s="14">
        <v>24593</v>
      </c>
      <c r="B44" s="15">
        <v>8154</v>
      </c>
      <c r="C44">
        <v>20</v>
      </c>
      <c r="D44">
        <f t="shared" si="1"/>
        <v>8154</v>
      </c>
      <c r="E44">
        <f t="shared" si="0"/>
        <v>6278.7813987355294</v>
      </c>
      <c r="F44">
        <f t="shared" si="2"/>
        <v>3516444.8025282775</v>
      </c>
      <c r="G44">
        <f t="shared" si="3"/>
        <v>37937170.99445983</v>
      </c>
    </row>
    <row r="45" spans="1:7" x14ac:dyDescent="0.2">
      <c r="A45" s="14">
        <v>24624</v>
      </c>
      <c r="B45" s="15">
        <v>7362</v>
      </c>
      <c r="C45">
        <v>21</v>
      </c>
      <c r="D45">
        <f t="shared" si="1"/>
        <v>7362</v>
      </c>
      <c r="E45">
        <f t="shared" si="0"/>
        <v>6091.0349624339378</v>
      </c>
      <c r="F45">
        <f t="shared" si="2"/>
        <v>1615352.1267153018</v>
      </c>
      <c r="G45">
        <f t="shared" si="3"/>
        <v>28808078.783933517</v>
      </c>
    </row>
    <row r="46" spans="1:7" x14ac:dyDescent="0.2">
      <c r="A46" s="14">
        <v>24654</v>
      </c>
      <c r="B46" s="15">
        <v>7424</v>
      </c>
      <c r="C46">
        <v>22</v>
      </c>
      <c r="D46">
        <f t="shared" si="1"/>
        <v>7424</v>
      </c>
      <c r="E46">
        <f t="shared" si="0"/>
        <v>5914.1904275060515</v>
      </c>
      <c r="F46">
        <f t="shared" si="2"/>
        <v>2279524.9451943594</v>
      </c>
      <c r="G46">
        <f t="shared" si="3"/>
        <v>29477469.941828255</v>
      </c>
    </row>
    <row r="47" spans="1:7" x14ac:dyDescent="0.2">
      <c r="A47" s="14">
        <v>24685</v>
      </c>
      <c r="B47" s="15">
        <v>6898</v>
      </c>
      <c r="C47">
        <v>23</v>
      </c>
      <c r="D47">
        <f t="shared" si="1"/>
        <v>6898</v>
      </c>
      <c r="E47">
        <f t="shared" si="0"/>
        <v>5747.3250217388422</v>
      </c>
      <c r="F47">
        <f t="shared" si="2"/>
        <v>1324052.9055963159</v>
      </c>
      <c r="G47">
        <f t="shared" si="3"/>
        <v>24042505.731301937</v>
      </c>
    </row>
    <row r="48" spans="1:7" x14ac:dyDescent="0.2">
      <c r="A48" s="14">
        <v>24716</v>
      </c>
      <c r="B48" s="15">
        <v>6492</v>
      </c>
      <c r="C48">
        <v>24</v>
      </c>
      <c r="D48">
        <f t="shared" si="1"/>
        <v>6492</v>
      </c>
      <c r="E48">
        <f t="shared" si="0"/>
        <v>5589.6172571462121</v>
      </c>
      <c r="F48">
        <f t="shared" si="2"/>
        <v>814294.61460032559</v>
      </c>
      <c r="G48">
        <f t="shared" si="3"/>
        <v>20225849.310249306</v>
      </c>
    </row>
    <row r="49" spans="1:7" x14ac:dyDescent="0.2">
      <c r="A49" s="14">
        <v>24746</v>
      </c>
      <c r="B49" s="15">
        <v>6784</v>
      </c>
      <c r="C49">
        <v>25</v>
      </c>
      <c r="D49">
        <f t="shared" si="1"/>
        <v>6784</v>
      </c>
      <c r="E49">
        <f t="shared" si="0"/>
        <v>5440.3334048036131</v>
      </c>
      <c r="F49">
        <f t="shared" si="2"/>
        <v>1805439.9190466511</v>
      </c>
      <c r="G49">
        <f t="shared" si="3"/>
        <v>22937545.731301937</v>
      </c>
    </row>
    <row r="50" spans="1:7" x14ac:dyDescent="0.2">
      <c r="A50" s="14">
        <v>24777</v>
      </c>
      <c r="B50" s="15">
        <v>6251</v>
      </c>
      <c r="C50">
        <v>26</v>
      </c>
      <c r="D50">
        <f t="shared" si="1"/>
        <v>6251</v>
      </c>
      <c r="E50">
        <f t="shared" si="0"/>
        <v>5298.8160806325486</v>
      </c>
      <c r="F50">
        <f t="shared" si="2"/>
        <v>906654.2163019611</v>
      </c>
      <c r="G50">
        <f t="shared" si="3"/>
        <v>18116224.099722993</v>
      </c>
    </row>
    <row r="51" spans="1:7" x14ac:dyDescent="0.2">
      <c r="A51" s="14">
        <v>24807</v>
      </c>
      <c r="B51" s="15">
        <v>5893</v>
      </c>
      <c r="C51">
        <v>27</v>
      </c>
      <c r="D51">
        <f t="shared" si="1"/>
        <v>5893</v>
      </c>
      <c r="E51">
        <f t="shared" si="0"/>
        <v>5164.4745675008517</v>
      </c>
      <c r="F51">
        <f t="shared" si="2"/>
        <v>530749.30579807109</v>
      </c>
      <c r="G51">
        <f t="shared" si="3"/>
        <v>15196865.994459834</v>
      </c>
    </row>
    <row r="52" spans="1:7" x14ac:dyDescent="0.2">
      <c r="A52" s="14">
        <v>24838</v>
      </c>
      <c r="B52" s="15">
        <v>5556</v>
      </c>
      <c r="C52">
        <v>28</v>
      </c>
      <c r="D52">
        <f t="shared" si="1"/>
        <v>5556</v>
      </c>
      <c r="E52">
        <f t="shared" si="0"/>
        <v>5036.7765731108993</v>
      </c>
      <c r="F52">
        <f t="shared" si="2"/>
        <v>269592.96703046124</v>
      </c>
      <c r="G52">
        <f t="shared" si="3"/>
        <v>12682970.15235457</v>
      </c>
    </row>
    <row r="53" spans="1:7" x14ac:dyDescent="0.2">
      <c r="A53" s="14">
        <v>24869</v>
      </c>
      <c r="B53" s="15">
        <v>5222</v>
      </c>
      <c r="C53">
        <v>29</v>
      </c>
      <c r="D53">
        <f t="shared" si="1"/>
        <v>5222</v>
      </c>
      <c r="E53">
        <f t="shared" si="0"/>
        <v>4915.2411811608754</v>
      </c>
      <c r="F53">
        <f t="shared" si="2"/>
        <v>94100.972935574871</v>
      </c>
      <c r="G53">
        <f t="shared" si="3"/>
        <v>10415567.204986149</v>
      </c>
    </row>
    <row r="54" spans="1:7" x14ac:dyDescent="0.2">
      <c r="A54" s="14">
        <v>24898</v>
      </c>
      <c r="B54" s="15">
        <v>5608</v>
      </c>
      <c r="C54">
        <v>30</v>
      </c>
      <c r="D54">
        <f t="shared" si="1"/>
        <v>5608</v>
      </c>
      <c r="E54">
        <f t="shared" si="0"/>
        <v>4799.4327989754784</v>
      </c>
      <c r="F54">
        <f t="shared" si="2"/>
        <v>653780.91857262922</v>
      </c>
      <c r="G54">
        <f t="shared" si="3"/>
        <v>13056050.994459834</v>
      </c>
    </row>
    <row r="55" spans="1:7" x14ac:dyDescent="0.2">
      <c r="A55" s="14">
        <v>24929</v>
      </c>
      <c r="B55" s="15">
        <v>5002</v>
      </c>
      <c r="C55">
        <v>31</v>
      </c>
      <c r="D55">
        <f t="shared" si="1"/>
        <v>5002</v>
      </c>
      <c r="E55">
        <f t="shared" si="0"/>
        <v>4688.9559410438305</v>
      </c>
      <c r="F55">
        <f t="shared" si="2"/>
        <v>97996.5828477537</v>
      </c>
      <c r="G55">
        <f t="shared" si="3"/>
        <v>9043948.2576177288</v>
      </c>
    </row>
    <row r="56" spans="1:7" x14ac:dyDescent="0.2">
      <c r="A56" s="14">
        <v>24959</v>
      </c>
      <c r="B56" s="15">
        <v>5187</v>
      </c>
      <c r="C56">
        <v>32</v>
      </c>
      <c r="D56">
        <f t="shared" si="1"/>
        <v>5187</v>
      </c>
      <c r="E56">
        <f t="shared" si="0"/>
        <v>4583.4507168045793</v>
      </c>
      <c r="F56">
        <f t="shared" si="2"/>
        <v>364271.73724570614</v>
      </c>
      <c r="G56">
        <f t="shared" si="3"/>
        <v>10190880.099722991</v>
      </c>
    </row>
    <row r="57" spans="1:7" x14ac:dyDescent="0.2">
      <c r="A57" s="14">
        <v>24990</v>
      </c>
      <c r="B57" s="15">
        <v>4667</v>
      </c>
      <c r="C57">
        <v>33</v>
      </c>
      <c r="D57">
        <f t="shared" si="1"/>
        <v>4667</v>
      </c>
      <c r="E57">
        <f t="shared" si="0"/>
        <v>4482.5889141962616</v>
      </c>
      <c r="F57">
        <f t="shared" si="2"/>
        <v>34007.448567313761</v>
      </c>
      <c r="G57">
        <f t="shared" si="3"/>
        <v>7141271.6786703598</v>
      </c>
    </row>
    <row r="58" spans="1:7" x14ac:dyDescent="0.2">
      <c r="A58" s="14">
        <v>25020</v>
      </c>
      <c r="B58" s="15">
        <v>4369</v>
      </c>
      <c r="C58">
        <v>34</v>
      </c>
      <c r="D58">
        <f t="shared" si="1"/>
        <v>4369</v>
      </c>
      <c r="E58">
        <f t="shared" si="0"/>
        <v>4386.0705891775542</v>
      </c>
      <c r="F58">
        <f t="shared" si="2"/>
        <v>291.40501486883096</v>
      </c>
      <c r="G58">
        <f t="shared" si="3"/>
        <v>5637375.4681440443</v>
      </c>
    </row>
    <row r="59" spans="1:7" x14ac:dyDescent="0.2">
      <c r="A59" s="14">
        <v>25051</v>
      </c>
      <c r="B59" s="15">
        <v>4036</v>
      </c>
      <c r="C59">
        <v>35</v>
      </c>
      <c r="D59">
        <f t="shared" si="1"/>
        <v>4036</v>
      </c>
      <c r="E59">
        <f t="shared" si="0"/>
        <v>4293.6210865636313</v>
      </c>
      <c r="F59">
        <f t="shared" si="2"/>
        <v>66368.624242225982</v>
      </c>
      <c r="G59">
        <f t="shared" si="3"/>
        <v>4166970.1523545706</v>
      </c>
    </row>
    <row r="60" spans="1:7" x14ac:dyDescent="0.2">
      <c r="A60" s="14">
        <v>25082</v>
      </c>
      <c r="B60" s="15">
        <v>4149</v>
      </c>
      <c r="C60">
        <v>36</v>
      </c>
      <c r="D60">
        <f t="shared" si="1"/>
        <v>4149</v>
      </c>
      <c r="E60">
        <f t="shared" si="0"/>
        <v>4204.9884298534389</v>
      </c>
      <c r="F60">
        <f t="shared" si="2"/>
        <v>3134.7042774534484</v>
      </c>
      <c r="G60">
        <f t="shared" si="3"/>
        <v>4641076.5207756227</v>
      </c>
    </row>
    <row r="61" spans="1:7" x14ac:dyDescent="0.2">
      <c r="A61" s="14">
        <v>25112</v>
      </c>
      <c r="B61" s="15">
        <v>3672</v>
      </c>
      <c r="C61">
        <v>37</v>
      </c>
      <c r="D61">
        <f t="shared" si="1"/>
        <v>3672</v>
      </c>
      <c r="E61">
        <f t="shared" si="0"/>
        <v>4119.9410278070427</v>
      </c>
      <c r="F61">
        <f t="shared" si="2"/>
        <v>200651.16439282981</v>
      </c>
      <c r="G61">
        <f t="shared" si="3"/>
        <v>2813388.2576177283</v>
      </c>
    </row>
    <row r="62" spans="1:7" x14ac:dyDescent="0.2">
      <c r="A62" s="14">
        <v>25143</v>
      </c>
      <c r="B62" s="15">
        <v>3464</v>
      </c>
      <c r="C62">
        <v>38</v>
      </c>
      <c r="D62">
        <f t="shared" si="1"/>
        <v>3464</v>
      </c>
      <c r="E62">
        <f t="shared" si="0"/>
        <v>4038.2656538174087</v>
      </c>
      <c r="F62">
        <f t="shared" si="2"/>
        <v>329781.04115433595</v>
      </c>
      <c r="G62">
        <f t="shared" si="3"/>
        <v>2158888.8891966757</v>
      </c>
    </row>
    <row r="63" spans="1:7" x14ac:dyDescent="0.2">
      <c r="A63" s="14">
        <v>25173</v>
      </c>
      <c r="B63" s="15">
        <v>3931</v>
      </c>
      <c r="C63">
        <v>39</v>
      </c>
      <c r="D63">
        <f t="shared" si="1"/>
        <v>3931</v>
      </c>
      <c r="E63">
        <f t="shared" si="0"/>
        <v>3959.7656609565688</v>
      </c>
      <c r="F63">
        <f t="shared" si="2"/>
        <v>827.46325026826719</v>
      </c>
      <c r="G63">
        <f t="shared" si="3"/>
        <v>3749318.8365650969</v>
      </c>
    </row>
    <row r="64" spans="1:7" x14ac:dyDescent="0.2">
      <c r="A64" s="14">
        <v>25204</v>
      </c>
      <c r="B64" s="15">
        <v>3627</v>
      </c>
      <c r="C64">
        <v>40</v>
      </c>
      <c r="D64">
        <f t="shared" si="1"/>
        <v>3627</v>
      </c>
      <c r="E64">
        <f t="shared" si="0"/>
        <v>3884.2594012386994</v>
      </c>
      <c r="F64">
        <f t="shared" si="2"/>
        <v>66182.399525694142</v>
      </c>
      <c r="G64">
        <f t="shared" si="3"/>
        <v>2664454.8365650969</v>
      </c>
    </row>
    <row r="65" spans="1:7" x14ac:dyDescent="0.2">
      <c r="A65" s="14">
        <v>25235</v>
      </c>
      <c r="B65" s="15">
        <v>2912</v>
      </c>
      <c r="C65">
        <v>41</v>
      </c>
      <c r="D65">
        <f t="shared" si="1"/>
        <v>2912</v>
      </c>
      <c r="E65">
        <f t="shared" si="0"/>
        <v>3811.5788223515924</v>
      </c>
      <c r="F65">
        <f t="shared" si="2"/>
        <v>809242.05762347789</v>
      </c>
      <c r="G65">
        <f t="shared" si="3"/>
        <v>841468.25761772844</v>
      </c>
    </row>
    <row r="66" spans="1:7" x14ac:dyDescent="0.2">
      <c r="A66" s="14">
        <v>25263</v>
      </c>
      <c r="B66" s="15">
        <v>2994</v>
      </c>
      <c r="C66">
        <v>42</v>
      </c>
      <c r="D66">
        <f t="shared" si="1"/>
        <v>2994</v>
      </c>
      <c r="E66">
        <f t="shared" si="0"/>
        <v>3741.5682190384878</v>
      </c>
      <c r="F66">
        <f t="shared" si="2"/>
        <v>558858.24211637641</v>
      </c>
      <c r="G66">
        <f t="shared" si="3"/>
        <v>998632.04709141259</v>
      </c>
    </row>
    <row r="67" spans="1:7" x14ac:dyDescent="0.2">
      <c r="A67" s="14">
        <v>25294</v>
      </c>
      <c r="B67" s="15">
        <v>3241</v>
      </c>
      <c r="C67">
        <v>43</v>
      </c>
      <c r="D67">
        <f t="shared" si="1"/>
        <v>3241</v>
      </c>
      <c r="E67">
        <f t="shared" si="0"/>
        <v>3674.0831196047247</v>
      </c>
      <c r="F67">
        <f t="shared" si="2"/>
        <v>187560.98848656032</v>
      </c>
      <c r="G67">
        <f t="shared" si="3"/>
        <v>1553303.0470914126</v>
      </c>
    </row>
    <row r="68" spans="1:7" x14ac:dyDescent="0.2">
      <c r="A68" s="14">
        <v>25324</v>
      </c>
      <c r="B68" s="15">
        <v>3503</v>
      </c>
      <c r="C68">
        <v>44</v>
      </c>
      <c r="D68">
        <f t="shared" si="1"/>
        <v>3503</v>
      </c>
      <c r="E68">
        <f t="shared" si="0"/>
        <v>3608.9892907911449</v>
      </c>
      <c r="F68">
        <f t="shared" si="2"/>
        <v>11233.729762409866</v>
      </c>
      <c r="G68">
        <f t="shared" si="3"/>
        <v>2275016.5207756232</v>
      </c>
    </row>
    <row r="69" spans="1:7" x14ac:dyDescent="0.2">
      <c r="A69" s="14">
        <v>25355</v>
      </c>
      <c r="B69" s="15">
        <v>3420</v>
      </c>
      <c r="C69">
        <v>45</v>
      </c>
      <c r="D69">
        <f t="shared" si="1"/>
        <v>3420</v>
      </c>
      <c r="E69">
        <f t="shared" si="0"/>
        <v>3546.1618465900419</v>
      </c>
      <c r="F69">
        <f t="shared" si="2"/>
        <v>15916.811535009276</v>
      </c>
      <c r="G69">
        <f t="shared" si="3"/>
        <v>2031525.0997229915</v>
      </c>
    </row>
    <row r="70" spans="1:7" x14ac:dyDescent="0.2">
      <c r="A70" s="14">
        <v>25385</v>
      </c>
      <c r="B70" s="15">
        <v>3751</v>
      </c>
      <c r="C70">
        <v>46</v>
      </c>
      <c r="D70">
        <f t="shared" si="1"/>
        <v>3751</v>
      </c>
      <c r="E70">
        <f t="shared" si="0"/>
        <v>3485.4844485539475</v>
      </c>
      <c r="F70">
        <f t="shared" si="2"/>
        <v>70498.508059701373</v>
      </c>
      <c r="G70">
        <f t="shared" si="3"/>
        <v>3084645.1523545706</v>
      </c>
    </row>
    <row r="71" spans="1:7" x14ac:dyDescent="0.2">
      <c r="A71" s="14">
        <v>25416</v>
      </c>
      <c r="B71" s="15">
        <v>3152</v>
      </c>
      <c r="C71">
        <v>47</v>
      </c>
      <c r="D71">
        <f t="shared" si="1"/>
        <v>3152</v>
      </c>
      <c r="E71">
        <f t="shared" si="0"/>
        <v>3426.848586823035</v>
      </c>
      <c r="F71">
        <f t="shared" si="2"/>
        <v>75541.745678619423</v>
      </c>
      <c r="G71">
        <f t="shared" si="3"/>
        <v>1339379.8365650969</v>
      </c>
    </row>
    <row r="72" spans="1:7" x14ac:dyDescent="0.2">
      <c r="A72" s="14">
        <v>25447</v>
      </c>
      <c r="B72" s="15">
        <v>3242</v>
      </c>
      <c r="C72">
        <v>48</v>
      </c>
      <c r="D72">
        <f t="shared" si="1"/>
        <v>3242</v>
      </c>
      <c r="E72">
        <f t="shared" si="0"/>
        <v>3370.1529325229767</v>
      </c>
      <c r="F72">
        <f t="shared" si="2"/>
        <v>16423.17411423862</v>
      </c>
      <c r="G72">
        <f t="shared" si="3"/>
        <v>1555796.67867036</v>
      </c>
    </row>
    <row r="73" spans="1:7" x14ac:dyDescent="0.2">
      <c r="A73" s="14">
        <v>25477</v>
      </c>
      <c r="B73" s="15">
        <v>2679</v>
      </c>
      <c r="C73">
        <v>49</v>
      </c>
      <c r="D73">
        <f t="shared" si="1"/>
        <v>2679</v>
      </c>
      <c r="E73">
        <f t="shared" si="0"/>
        <v>3315.3027534022285</v>
      </c>
      <c r="F73">
        <f t="shared" si="2"/>
        <v>404881.19398725725</v>
      </c>
      <c r="G73">
        <f t="shared" si="3"/>
        <v>468288.09972299164</v>
      </c>
    </row>
    <row r="74" spans="1:7" x14ac:dyDescent="0.2">
      <c r="A74" s="14">
        <v>25508</v>
      </c>
      <c r="B74" s="15">
        <v>2715</v>
      </c>
      <c r="C74">
        <v>50</v>
      </c>
      <c r="D74">
        <f t="shared" si="1"/>
        <v>2715</v>
      </c>
      <c r="E74">
        <f t="shared" si="0"/>
        <v>3262.209385619462</v>
      </c>
      <c r="F74">
        <f t="shared" si="2"/>
        <v>299438.11171002901</v>
      </c>
      <c r="G74">
        <f t="shared" si="3"/>
        <v>518854.83656509686</v>
      </c>
    </row>
    <row r="75" spans="1:7" x14ac:dyDescent="0.2">
      <c r="A75" s="14">
        <v>25538</v>
      </c>
      <c r="B75" s="15">
        <v>2859</v>
      </c>
      <c r="C75">
        <v>51</v>
      </c>
      <c r="D75">
        <f t="shared" si="1"/>
        <v>2859</v>
      </c>
      <c r="E75">
        <f t="shared" si="0"/>
        <v>3210.7897554857723</v>
      </c>
      <c r="F75">
        <f t="shared" si="2"/>
        <v>123756.03206473944</v>
      </c>
      <c r="G75">
        <f t="shared" si="3"/>
        <v>747041.78393351787</v>
      </c>
    </row>
    <row r="76" spans="1:7" x14ac:dyDescent="0.2">
      <c r="A76" s="14">
        <v>25569</v>
      </c>
      <c r="B76" s="15">
        <v>2632</v>
      </c>
      <c r="C76">
        <v>52</v>
      </c>
      <c r="D76">
        <f t="shared" si="1"/>
        <v>2632</v>
      </c>
      <c r="E76">
        <f t="shared" ref="E76:E139" si="4">$E$5/(1+$D$5*C76)</f>
        <v>3160.9659457354242</v>
      </c>
      <c r="F76">
        <f t="shared" si="2"/>
        <v>279804.97174777172</v>
      </c>
      <c r="G76">
        <f t="shared" si="3"/>
        <v>406171.41551246529</v>
      </c>
    </row>
    <row r="77" spans="1:7" x14ac:dyDescent="0.2">
      <c r="A77" s="14">
        <v>25600</v>
      </c>
      <c r="B77" s="15">
        <v>2421</v>
      </c>
      <c r="C77">
        <v>53</v>
      </c>
      <c r="D77">
        <f t="shared" ref="D77:D140" si="5">B77</f>
        <v>2421</v>
      </c>
      <c r="E77">
        <f t="shared" si="4"/>
        <v>3112.6648015621968</v>
      </c>
      <c r="F77">
        <f t="shared" ref="F77:F140" si="6">(D77-E77)^2</f>
        <v>478400.19772007305</v>
      </c>
      <c r="G77">
        <f t="shared" ref="G77:G140" si="7">(D77-$G$5)^2</f>
        <v>181745.1523545706</v>
      </c>
    </row>
    <row r="78" spans="1:7" x14ac:dyDescent="0.2">
      <c r="A78" s="14">
        <v>25628</v>
      </c>
      <c r="B78" s="15">
        <v>2793</v>
      </c>
      <c r="C78">
        <v>54</v>
      </c>
      <c r="D78">
        <f t="shared" si="5"/>
        <v>2793</v>
      </c>
      <c r="E78">
        <f t="shared" si="4"/>
        <v>3065.8175722318811</v>
      </c>
      <c r="F78">
        <f t="shared" si="6"/>
        <v>74429.427718497638</v>
      </c>
      <c r="G78">
        <f t="shared" si="7"/>
        <v>637308.09972299158</v>
      </c>
    </row>
    <row r="79" spans="1:7" x14ac:dyDescent="0.2">
      <c r="A79" s="14">
        <v>25659</v>
      </c>
      <c r="B79" s="15">
        <v>2865</v>
      </c>
      <c r="C79">
        <v>55</v>
      </c>
      <c r="D79">
        <f t="shared" si="5"/>
        <v>2865</v>
      </c>
      <c r="E79">
        <f t="shared" si="4"/>
        <v>3020.3595845784239</v>
      </c>
      <c r="F79">
        <f t="shared" si="6"/>
        <v>24136.600520380445</v>
      </c>
      <c r="G79">
        <f t="shared" si="7"/>
        <v>757449.57340720214</v>
      </c>
    </row>
    <row r="80" spans="1:7" x14ac:dyDescent="0.2">
      <c r="A80" s="14">
        <v>25689</v>
      </c>
      <c r="B80" s="15">
        <v>2857</v>
      </c>
      <c r="C80">
        <v>56</v>
      </c>
      <c r="D80">
        <f t="shared" si="5"/>
        <v>2857</v>
      </c>
      <c r="E80">
        <f t="shared" si="4"/>
        <v>2976.2299451228223</v>
      </c>
      <c r="F80">
        <f t="shared" si="6"/>
        <v>14215.779813991217</v>
      </c>
      <c r="G80">
        <f t="shared" si="7"/>
        <v>743588.52077562315</v>
      </c>
    </row>
    <row r="81" spans="1:7" x14ac:dyDescent="0.2">
      <c r="A81" s="14">
        <v>25720</v>
      </c>
      <c r="B81" s="15">
        <v>2479</v>
      </c>
      <c r="C81">
        <v>57</v>
      </c>
      <c r="D81">
        <f t="shared" si="5"/>
        <v>2479</v>
      </c>
      <c r="E81">
        <f t="shared" si="4"/>
        <v>2933.3712679295177</v>
      </c>
      <c r="F81">
        <f t="shared" si="6"/>
        <v>206453.24911987752</v>
      </c>
      <c r="G81">
        <f t="shared" si="7"/>
        <v>234561.78393351796</v>
      </c>
    </row>
    <row r="82" spans="1:7" x14ac:dyDescent="0.2">
      <c r="A82" s="14">
        <v>25750</v>
      </c>
      <c r="B82" s="15">
        <v>2610</v>
      </c>
      <c r="C82">
        <v>58</v>
      </c>
      <c r="D82">
        <f t="shared" si="5"/>
        <v>2610</v>
      </c>
      <c r="E82">
        <f t="shared" si="4"/>
        <v>2891.7294256427354</v>
      </c>
      <c r="F82">
        <f t="shared" si="6"/>
        <v>79371.469272985545</v>
      </c>
      <c r="G82">
        <f t="shared" si="7"/>
        <v>378613.52077562321</v>
      </c>
    </row>
    <row r="83" spans="1:7" x14ac:dyDescent="0.2">
      <c r="A83" s="14">
        <v>25781</v>
      </c>
      <c r="B83" s="15">
        <v>2389</v>
      </c>
      <c r="C83">
        <v>59</v>
      </c>
      <c r="D83">
        <f t="shared" si="5"/>
        <v>2389</v>
      </c>
      <c r="E83">
        <f t="shared" si="4"/>
        <v>2851.2533214315827</v>
      </c>
      <c r="F83">
        <f t="shared" si="6"/>
        <v>213678.13317453008</v>
      </c>
      <c r="G83">
        <f t="shared" si="7"/>
        <v>155484.94182825481</v>
      </c>
    </row>
    <row r="84" spans="1:7" x14ac:dyDescent="0.2">
      <c r="A84" s="14">
        <v>25812</v>
      </c>
      <c r="B84" s="15">
        <v>2383</v>
      </c>
      <c r="C84">
        <v>60</v>
      </c>
      <c r="D84">
        <f t="shared" si="5"/>
        <v>2383</v>
      </c>
      <c r="E84">
        <f t="shared" si="4"/>
        <v>2811.8946798235324</v>
      </c>
      <c r="F84">
        <f t="shared" si="6"/>
        <v>183950.64638093041</v>
      </c>
      <c r="G84">
        <f t="shared" si="7"/>
        <v>150789.1523545706</v>
      </c>
    </row>
    <row r="85" spans="1:7" x14ac:dyDescent="0.2">
      <c r="A85" s="14">
        <v>25842</v>
      </c>
      <c r="B85" s="15">
        <v>1812</v>
      </c>
      <c r="C85">
        <v>61</v>
      </c>
      <c r="D85">
        <f t="shared" si="5"/>
        <v>1812</v>
      </c>
      <c r="E85">
        <f t="shared" si="4"/>
        <v>2773.6078546260132</v>
      </c>
      <c r="F85">
        <f t="shared" si="6"/>
        <v>924689.66607844387</v>
      </c>
      <c r="G85">
        <f t="shared" si="7"/>
        <v>33373.520775623285</v>
      </c>
    </row>
    <row r="86" spans="1:7" x14ac:dyDescent="0.2">
      <c r="A86" s="14">
        <v>25873</v>
      </c>
      <c r="B86" s="15">
        <v>1291</v>
      </c>
      <c r="C86">
        <v>62</v>
      </c>
      <c r="D86">
        <f t="shared" si="5"/>
        <v>1291</v>
      </c>
      <c r="E86">
        <f t="shared" si="4"/>
        <v>2736.3496523292624</v>
      </c>
      <c r="F86">
        <f t="shared" si="6"/>
        <v>2089035.6174883198</v>
      </c>
      <c r="G86">
        <f t="shared" si="7"/>
        <v>495171.4681440444</v>
      </c>
    </row>
    <row r="87" spans="1:7" x14ac:dyDescent="0.2">
      <c r="A87" s="14">
        <v>25903</v>
      </c>
      <c r="B87" s="15">
        <v>1193</v>
      </c>
      <c r="C87">
        <v>63</v>
      </c>
      <c r="D87">
        <f t="shared" si="5"/>
        <v>1193</v>
      </c>
      <c r="E87">
        <f t="shared" si="4"/>
        <v>2700.0791695540206</v>
      </c>
      <c r="F87">
        <f t="shared" si="6"/>
        <v>2271287.6233036364</v>
      </c>
      <c r="G87">
        <f t="shared" si="7"/>
        <v>642697.57340720226</v>
      </c>
    </row>
    <row r="88" spans="1:7" x14ac:dyDescent="0.2">
      <c r="A88" s="14">
        <v>25934</v>
      </c>
      <c r="B88" s="15">
        <v>953</v>
      </c>
      <c r="C88">
        <v>64</v>
      </c>
      <c r="D88">
        <f t="shared" si="5"/>
        <v>953</v>
      </c>
      <c r="E88">
        <f t="shared" si="4"/>
        <v>2664.757643257954</v>
      </c>
      <c r="F88">
        <f t="shared" si="6"/>
        <v>2930114.229252025</v>
      </c>
      <c r="G88">
        <f t="shared" si="7"/>
        <v>1085105.9944598339</v>
      </c>
    </row>
    <row r="89" spans="1:7" x14ac:dyDescent="0.2">
      <c r="A89" s="14">
        <v>25965</v>
      </c>
      <c r="B89" s="15">
        <v>1330</v>
      </c>
      <c r="C89">
        <v>65</v>
      </c>
      <c r="D89">
        <f t="shared" si="5"/>
        <v>1330</v>
      </c>
      <c r="E89">
        <f t="shared" si="4"/>
        <v>2630.3483125475482</v>
      </c>
      <c r="F89">
        <f t="shared" si="6"/>
        <v>1690905.7339452561</v>
      </c>
      <c r="G89">
        <f t="shared" si="7"/>
        <v>441805.09972299176</v>
      </c>
    </row>
    <row r="90" spans="1:7" x14ac:dyDescent="0.2">
      <c r="A90" s="14">
        <v>25993</v>
      </c>
      <c r="B90" s="15">
        <v>2119</v>
      </c>
      <c r="C90">
        <v>66</v>
      </c>
      <c r="D90">
        <f t="shared" si="5"/>
        <v>2119</v>
      </c>
      <c r="E90">
        <f t="shared" si="4"/>
        <v>2596.8162910598444</v>
      </c>
      <c r="F90">
        <f t="shared" si="6"/>
        <v>228308.40800218593</v>
      </c>
      <c r="G90">
        <f t="shared" si="7"/>
        <v>15454.415512465363</v>
      </c>
    </row>
    <row r="91" spans="1:7" x14ac:dyDescent="0.2">
      <c r="A91" s="14">
        <v>26024</v>
      </c>
      <c r="B91" s="15">
        <v>1984</v>
      </c>
      <c r="C91">
        <v>67</v>
      </c>
      <c r="D91">
        <f t="shared" si="5"/>
        <v>1984</v>
      </c>
      <c r="E91">
        <f t="shared" si="4"/>
        <v>2564.1284489826694</v>
      </c>
      <c r="F91">
        <f t="shared" si="6"/>
        <v>336549.01731903764</v>
      </c>
      <c r="G91">
        <f t="shared" si="7"/>
        <v>114.15235457063814</v>
      </c>
    </row>
    <row r="92" spans="1:7" x14ac:dyDescent="0.2">
      <c r="A92" s="14">
        <v>26054</v>
      </c>
      <c r="B92" s="15">
        <v>1976</v>
      </c>
      <c r="C92">
        <v>68</v>
      </c>
      <c r="D92">
        <f t="shared" si="5"/>
        <v>1976</v>
      </c>
      <c r="E92">
        <f t="shared" si="4"/>
        <v>2532.2533038746278</v>
      </c>
      <c r="F92">
        <f t="shared" si="6"/>
        <v>309417.73807143903</v>
      </c>
      <c r="G92">
        <f t="shared" si="7"/>
        <v>349.09972299169152</v>
      </c>
    </row>
    <row r="93" spans="1:7" x14ac:dyDescent="0.2">
      <c r="A93" s="14">
        <v>26085</v>
      </c>
      <c r="B93" s="15">
        <v>1760</v>
      </c>
      <c r="C93">
        <v>69</v>
      </c>
      <c r="D93">
        <f t="shared" si="5"/>
        <v>1760</v>
      </c>
      <c r="E93">
        <f t="shared" si="4"/>
        <v>2501.1609195285287</v>
      </c>
      <c r="F93">
        <f t="shared" si="6"/>
        <v>549319.50863637414</v>
      </c>
      <c r="G93">
        <f t="shared" si="7"/>
        <v>55076.678670360132</v>
      </c>
    </row>
    <row r="94" spans="1:7" x14ac:dyDescent="0.2">
      <c r="A94" s="14">
        <v>26115</v>
      </c>
      <c r="B94" s="15">
        <v>2033</v>
      </c>
      <c r="C94">
        <v>70</v>
      </c>
      <c r="D94">
        <f t="shared" si="5"/>
        <v>2033</v>
      </c>
      <c r="E94">
        <f t="shared" si="4"/>
        <v>2470.8228121952952</v>
      </c>
      <c r="F94">
        <f t="shared" si="6"/>
        <v>191688.81487859675</v>
      </c>
      <c r="G94">
        <f t="shared" si="7"/>
        <v>1468.0997229916861</v>
      </c>
    </row>
    <row r="95" spans="1:7" x14ac:dyDescent="0.2">
      <c r="A95" s="14">
        <v>26146</v>
      </c>
      <c r="B95" s="15">
        <v>1918</v>
      </c>
      <c r="C95">
        <v>71</v>
      </c>
      <c r="D95">
        <f t="shared" si="5"/>
        <v>1918</v>
      </c>
      <c r="E95">
        <f t="shared" si="4"/>
        <v>2441.2118635508828</v>
      </c>
      <c r="F95">
        <f t="shared" si="6"/>
        <v>273750.65416038758</v>
      </c>
      <c r="G95">
        <f t="shared" si="7"/>
        <v>5880.4681440443283</v>
      </c>
    </row>
    <row r="96" spans="1:7" x14ac:dyDescent="0.2">
      <c r="A96" s="14">
        <v>26177</v>
      </c>
      <c r="B96" s="15">
        <v>1750</v>
      </c>
      <c r="C96">
        <v>72</v>
      </c>
      <c r="D96">
        <f t="shared" si="5"/>
        <v>1750</v>
      </c>
      <c r="E96">
        <f t="shared" si="4"/>
        <v>2412.3022398472499</v>
      </c>
      <c r="F96">
        <f t="shared" si="6"/>
        <v>438644.25690668414</v>
      </c>
      <c r="G96">
        <f t="shared" si="7"/>
        <v>59870.362880886452</v>
      </c>
    </row>
    <row r="97" spans="1:7" x14ac:dyDescent="0.2">
      <c r="A97" s="14">
        <v>26207</v>
      </c>
      <c r="B97" s="15">
        <v>1903</v>
      </c>
      <c r="C97">
        <v>73</v>
      </c>
      <c r="D97">
        <f t="shared" si="5"/>
        <v>1903</v>
      </c>
      <c r="E97">
        <f t="shared" si="4"/>
        <v>2384.0693167407321</v>
      </c>
      <c r="F97">
        <f t="shared" si="6"/>
        <v>231427.68750939483</v>
      </c>
      <c r="G97">
        <f t="shared" si="7"/>
        <v>8405.9944598338043</v>
      </c>
    </row>
    <row r="98" spans="1:7" x14ac:dyDescent="0.2">
      <c r="A98" s="14">
        <v>26238</v>
      </c>
      <c r="B98" s="15">
        <v>1878</v>
      </c>
      <c r="C98">
        <v>74</v>
      </c>
      <c r="D98">
        <f t="shared" si="5"/>
        <v>1878</v>
      </c>
      <c r="E98">
        <f t="shared" si="4"/>
        <v>2356.4896093380789</v>
      </c>
      <c r="F98">
        <f t="shared" si="6"/>
        <v>228952.3062445074</v>
      </c>
      <c r="G98">
        <f t="shared" si="7"/>
        <v>13615.204986149596</v>
      </c>
    </row>
    <row r="99" spans="1:7" x14ac:dyDescent="0.2">
      <c r="A99" s="14">
        <v>26268</v>
      </c>
      <c r="B99" s="15">
        <v>1643</v>
      </c>
      <c r="C99">
        <v>75</v>
      </c>
      <c r="D99">
        <f t="shared" si="5"/>
        <v>1643</v>
      </c>
      <c r="E99">
        <f t="shared" si="4"/>
        <v>2329.5407070424726</v>
      </c>
      <c r="F99">
        <f t="shared" si="6"/>
        <v>471338.14242637821</v>
      </c>
      <c r="G99">
        <f t="shared" si="7"/>
        <v>123681.78393351803</v>
      </c>
    </row>
    <row r="100" spans="1:7" x14ac:dyDescent="0.2">
      <c r="A100" s="14">
        <v>26299</v>
      </c>
      <c r="B100" s="15">
        <v>1312</v>
      </c>
      <c r="C100">
        <v>76</v>
      </c>
      <c r="D100">
        <f t="shared" si="5"/>
        <v>1312</v>
      </c>
      <c r="E100">
        <f t="shared" si="4"/>
        <v>2303.2012128196088</v>
      </c>
      <c r="F100">
        <f t="shared" si="6"/>
        <v>982479.84429506352</v>
      </c>
      <c r="G100">
        <f t="shared" si="7"/>
        <v>466057.73130193911</v>
      </c>
    </row>
    <row r="101" spans="1:7" x14ac:dyDescent="0.2">
      <c r="A101" s="14">
        <v>26330</v>
      </c>
      <c r="B101" s="15">
        <v>1417</v>
      </c>
      <c r="C101">
        <v>77</v>
      </c>
      <c r="D101">
        <f t="shared" si="5"/>
        <v>1417</v>
      </c>
      <c r="E101">
        <f t="shared" si="4"/>
        <v>2277.4506865379362</v>
      </c>
      <c r="F101">
        <f t="shared" si="6"/>
        <v>740375.38396360585</v>
      </c>
      <c r="G101">
        <f t="shared" si="7"/>
        <v>333719.04709141282</v>
      </c>
    </row>
    <row r="102" spans="1:7" x14ac:dyDescent="0.2">
      <c r="A102" s="14">
        <v>26359</v>
      </c>
      <c r="B102" s="15">
        <v>1651</v>
      </c>
      <c r="C102">
        <v>78</v>
      </c>
      <c r="D102">
        <f t="shared" si="5"/>
        <v>1651</v>
      </c>
      <c r="E102">
        <f t="shared" si="4"/>
        <v>2252.2695920677102</v>
      </c>
      <c r="F102">
        <f t="shared" si="6"/>
        <v>361525.12234527059</v>
      </c>
      <c r="G102">
        <f t="shared" si="7"/>
        <v>118118.83656509698</v>
      </c>
    </row>
    <row r="103" spans="1:7" x14ac:dyDescent="0.2">
      <c r="A103" s="14">
        <v>26390</v>
      </c>
      <c r="B103" s="15">
        <v>1715</v>
      </c>
      <c r="C103">
        <v>79</v>
      </c>
      <c r="D103">
        <f t="shared" si="5"/>
        <v>1715</v>
      </c>
      <c r="E103">
        <f t="shared" si="4"/>
        <v>2227.6392478511266</v>
      </c>
      <c r="F103">
        <f t="shared" si="6"/>
        <v>262798.99843736878</v>
      </c>
      <c r="G103">
        <f t="shared" si="7"/>
        <v>78223.257617728552</v>
      </c>
    </row>
    <row r="104" spans="1:7" x14ac:dyDescent="0.2">
      <c r="A104" s="14">
        <v>26420</v>
      </c>
      <c r="B104" s="15">
        <v>1649</v>
      </c>
      <c r="C104">
        <v>80</v>
      </c>
      <c r="D104">
        <f t="shared" si="5"/>
        <v>1649</v>
      </c>
      <c r="E104">
        <f t="shared" si="4"/>
        <v>2203.5417806807054</v>
      </c>
      <c r="F104">
        <f t="shared" si="6"/>
        <v>307516.58652052761</v>
      </c>
      <c r="G104">
        <f t="shared" si="7"/>
        <v>119497.57340720225</v>
      </c>
    </row>
    <row r="105" spans="1:7" x14ac:dyDescent="0.2">
      <c r="A105" s="14">
        <v>26451</v>
      </c>
      <c r="B105" s="15">
        <v>1532</v>
      </c>
      <c r="C105">
        <v>81</v>
      </c>
      <c r="D105">
        <f t="shared" si="5"/>
        <v>1532</v>
      </c>
      <c r="E105">
        <f t="shared" si="4"/>
        <v>2179.9600824455742</v>
      </c>
      <c r="F105">
        <f t="shared" si="6"/>
        <v>419852.26844287536</v>
      </c>
      <c r="G105">
        <f t="shared" si="7"/>
        <v>214076.67867036015</v>
      </c>
    </row>
    <row r="106" spans="1:7" x14ac:dyDescent="0.2">
      <c r="A106" s="14">
        <v>26481</v>
      </c>
      <c r="B106" s="15">
        <v>1617</v>
      </c>
      <c r="C106">
        <v>82</v>
      </c>
      <c r="D106">
        <f t="shared" si="5"/>
        <v>1617</v>
      </c>
      <c r="E106">
        <f t="shared" si="4"/>
        <v>2156.8777696256811</v>
      </c>
      <c r="F106">
        <f t="shared" si="6"/>
        <v>291468.00613600004</v>
      </c>
      <c r="G106">
        <f t="shared" si="7"/>
        <v>142645.36288088647</v>
      </c>
    </row>
    <row r="107" spans="1:7" x14ac:dyDescent="0.2">
      <c r="A107" s="14">
        <v>26512</v>
      </c>
      <c r="B107" s="15">
        <v>1569</v>
      </c>
      <c r="C107">
        <v>83</v>
      </c>
      <c r="D107">
        <f t="shared" si="5"/>
        <v>1569</v>
      </c>
      <c r="E107">
        <f t="shared" si="4"/>
        <v>2134.2791453324003</v>
      </c>
      <c r="F107">
        <f t="shared" si="6"/>
        <v>319540.51214772894</v>
      </c>
      <c r="G107">
        <f t="shared" si="7"/>
        <v>181207.04709141279</v>
      </c>
    </row>
    <row r="108" spans="1:7" x14ac:dyDescent="0.2">
      <c r="A108" s="14">
        <v>26543</v>
      </c>
      <c r="B108" s="15">
        <v>1524</v>
      </c>
      <c r="C108">
        <v>84</v>
      </c>
      <c r="D108">
        <f t="shared" si="5"/>
        <v>1524</v>
      </c>
      <c r="E108">
        <f t="shared" si="4"/>
        <v>2112.1491637107029</v>
      </c>
      <c r="F108">
        <f t="shared" si="6"/>
        <v>345919.43877359916</v>
      </c>
      <c r="G108">
        <f t="shared" si="7"/>
        <v>221543.62603878122</v>
      </c>
    </row>
    <row r="109" spans="1:7" x14ac:dyDescent="0.2">
      <c r="A109" s="14">
        <v>26573</v>
      </c>
      <c r="B109" s="15">
        <v>1625</v>
      </c>
      <c r="C109">
        <v>85</v>
      </c>
      <c r="D109">
        <f t="shared" si="5"/>
        <v>1625</v>
      </c>
      <c r="E109">
        <f t="shared" si="4"/>
        <v>2090.4733965332448</v>
      </c>
      <c r="F109">
        <f t="shared" si="6"/>
        <v>216665.48288019534</v>
      </c>
      <c r="G109">
        <f t="shared" si="7"/>
        <v>136666.41551246541</v>
      </c>
    </row>
    <row r="110" spans="1:7" x14ac:dyDescent="0.2">
      <c r="A110" s="14">
        <v>26604</v>
      </c>
      <c r="B110" s="15">
        <v>1529</v>
      </c>
      <c r="C110">
        <v>86</v>
      </c>
      <c r="D110">
        <f t="shared" si="5"/>
        <v>1529</v>
      </c>
      <c r="E110">
        <f t="shared" si="4"/>
        <v>2069.2380018305203</v>
      </c>
      <c r="F110">
        <f t="shared" si="6"/>
        <v>291857.0986218332</v>
      </c>
      <c r="G110">
        <f t="shared" si="7"/>
        <v>216861.78393351805</v>
      </c>
    </row>
    <row r="111" spans="1:7" x14ac:dyDescent="0.2">
      <c r="A111" s="14">
        <v>26634</v>
      </c>
      <c r="B111" s="15">
        <v>1613</v>
      </c>
      <c r="C111">
        <v>87</v>
      </c>
      <c r="D111">
        <f t="shared" si="5"/>
        <v>1613</v>
      </c>
      <c r="E111">
        <f t="shared" si="4"/>
        <v>2048.4296944137436</v>
      </c>
      <c r="F111">
        <f t="shared" si="6"/>
        <v>189599.01877724615</v>
      </c>
      <c r="G111">
        <f t="shared" si="7"/>
        <v>145682.83656509698</v>
      </c>
    </row>
    <row r="112" spans="1:7" x14ac:dyDescent="0.2">
      <c r="A112" s="14">
        <v>26665</v>
      </c>
      <c r="B112" s="15">
        <v>1404</v>
      </c>
      <c r="C112">
        <v>88</v>
      </c>
      <c r="D112">
        <f t="shared" si="5"/>
        <v>1404</v>
      </c>
      <c r="E112">
        <f t="shared" si="4"/>
        <v>2028.0357181585634</v>
      </c>
      <c r="F112">
        <f t="shared" si="6"/>
        <v>389420.57753767405</v>
      </c>
      <c r="G112">
        <f t="shared" si="7"/>
        <v>348907.83656509704</v>
      </c>
    </row>
    <row r="113" spans="1:7" x14ac:dyDescent="0.2">
      <c r="A113" s="14">
        <v>26696</v>
      </c>
      <c r="B113" s="15">
        <v>1371</v>
      </c>
      <c r="C113">
        <v>89</v>
      </c>
      <c r="D113">
        <f t="shared" si="5"/>
        <v>1371</v>
      </c>
      <c r="E113">
        <f t="shared" si="4"/>
        <v>2008.0438199281025</v>
      </c>
      <c r="F113">
        <f t="shared" si="6"/>
        <v>405824.82850858866</v>
      </c>
      <c r="G113">
        <f t="shared" si="7"/>
        <v>388981.99445983383</v>
      </c>
    </row>
    <row r="114" spans="1:7" x14ac:dyDescent="0.2">
      <c r="A114" s="14">
        <v>26724</v>
      </c>
      <c r="B114" s="15">
        <v>1629</v>
      </c>
      <c r="C114">
        <v>90</v>
      </c>
      <c r="D114">
        <f t="shared" si="5"/>
        <v>1629</v>
      </c>
      <c r="E114">
        <f t="shared" si="4"/>
        <v>1988.4422250232985</v>
      </c>
      <c r="F114">
        <f t="shared" si="6"/>
        <v>129198.71312969958</v>
      </c>
      <c r="G114">
        <f t="shared" si="7"/>
        <v>133724.94182825487</v>
      </c>
    </row>
    <row r="115" spans="1:7" x14ac:dyDescent="0.2">
      <c r="A115" s="14">
        <v>26755</v>
      </c>
      <c r="B115" s="15">
        <v>1542</v>
      </c>
      <c r="C115">
        <v>91</v>
      </c>
      <c r="D115">
        <f t="shared" si="5"/>
        <v>1542</v>
      </c>
      <c r="E115">
        <f t="shared" si="4"/>
        <v>1969.2196140572057</v>
      </c>
      <c r="F115">
        <f t="shared" si="6"/>
        <v>182516.59863518781</v>
      </c>
      <c r="G115">
        <f t="shared" si="7"/>
        <v>204922.99445983383</v>
      </c>
    </row>
    <row r="116" spans="1:7" x14ac:dyDescent="0.2">
      <c r="A116" s="14">
        <v>26785</v>
      </c>
      <c r="B116" s="15">
        <v>1485</v>
      </c>
      <c r="C116">
        <v>92</v>
      </c>
      <c r="D116">
        <f t="shared" si="5"/>
        <v>1485</v>
      </c>
      <c r="E116">
        <f t="shared" si="4"/>
        <v>1950.3651011578131</v>
      </c>
      <c r="F116">
        <f t="shared" si="6"/>
        <v>216564.67737562163</v>
      </c>
      <c r="G116">
        <f t="shared" si="7"/>
        <v>259777.99445983383</v>
      </c>
    </row>
    <row r="117" spans="1:7" x14ac:dyDescent="0.2">
      <c r="A117" s="14">
        <v>26816</v>
      </c>
      <c r="B117" s="15">
        <v>1453</v>
      </c>
      <c r="C117">
        <v>93</v>
      </c>
      <c r="D117">
        <f t="shared" si="5"/>
        <v>1453</v>
      </c>
      <c r="E117">
        <f t="shared" si="4"/>
        <v>1931.8682134111773</v>
      </c>
      <c r="F117">
        <f t="shared" si="6"/>
        <v>229314.76581561283</v>
      </c>
      <c r="G117">
        <f t="shared" si="7"/>
        <v>293421.78393351805</v>
      </c>
    </row>
    <row r="118" spans="1:7" x14ac:dyDescent="0.2">
      <c r="A118" s="14">
        <v>26846</v>
      </c>
      <c r="B118" s="15">
        <v>1334</v>
      </c>
      <c r="C118">
        <v>94</v>
      </c>
      <c r="D118">
        <f t="shared" si="5"/>
        <v>1334</v>
      </c>
      <c r="E118">
        <f t="shared" si="4"/>
        <v>1913.718871463323</v>
      </c>
      <c r="F118">
        <f t="shared" si="6"/>
        <v>336073.96993070882</v>
      </c>
      <c r="G118">
        <f t="shared" si="7"/>
        <v>436503.62603878125</v>
      </c>
    </row>
    <row r="119" spans="1:7" x14ac:dyDescent="0.2">
      <c r="A119" s="14">
        <v>26877</v>
      </c>
      <c r="B119" s="15">
        <v>1365</v>
      </c>
      <c r="C119">
        <v>95</v>
      </c>
      <c r="D119">
        <f t="shared" si="5"/>
        <v>1365</v>
      </c>
      <c r="E119">
        <f t="shared" si="4"/>
        <v>1895.9073712053907</v>
      </c>
      <c r="F119">
        <f t="shared" si="6"/>
        <v>281862.63680021855</v>
      </c>
      <c r="G119">
        <f t="shared" si="7"/>
        <v>396502.20498614962</v>
      </c>
    </row>
    <row r="120" spans="1:7" x14ac:dyDescent="0.2">
      <c r="A120" s="14">
        <v>26908</v>
      </c>
      <c r="B120" s="15">
        <v>1418</v>
      </c>
      <c r="C120">
        <v>96</v>
      </c>
      <c r="D120">
        <f t="shared" si="5"/>
        <v>1418</v>
      </c>
      <c r="E120">
        <f t="shared" si="4"/>
        <v>1878.4243664721296</v>
      </c>
      <c r="F120">
        <f t="shared" si="6"/>
        <v>211990.59724126189</v>
      </c>
      <c r="G120">
        <f t="shared" si="7"/>
        <v>332564.67867036018</v>
      </c>
    </row>
    <row r="121" spans="1:7" x14ac:dyDescent="0.2">
      <c r="A121" s="14">
        <v>26938</v>
      </c>
      <c r="B121" s="15">
        <v>1487</v>
      </c>
      <c r="C121">
        <v>97</v>
      </c>
      <c r="D121">
        <f t="shared" si="5"/>
        <v>1487</v>
      </c>
      <c r="E121">
        <f t="shared" si="4"/>
        <v>1861.2608526889087</v>
      </c>
      <c r="F121">
        <f t="shared" si="6"/>
        <v>140071.18585542901</v>
      </c>
      <c r="G121">
        <f t="shared" si="7"/>
        <v>257743.25761772858</v>
      </c>
    </row>
    <row r="122" spans="1:7" x14ac:dyDescent="0.2">
      <c r="A122" s="14">
        <v>26969</v>
      </c>
      <c r="B122" s="15">
        <v>1342</v>
      </c>
      <c r="C122">
        <v>98</v>
      </c>
      <c r="D122">
        <f t="shared" si="5"/>
        <v>1342</v>
      </c>
      <c r="E122">
        <f t="shared" si="4"/>
        <v>1844.4081514071336</v>
      </c>
      <c r="F122">
        <f t="shared" si="6"/>
        <v>252413.95060033325</v>
      </c>
      <c r="G122">
        <f t="shared" si="7"/>
        <v>425996.67867036018</v>
      </c>
    </row>
    <row r="123" spans="1:7" x14ac:dyDescent="0.2">
      <c r="A123" s="14">
        <v>26999</v>
      </c>
      <c r="B123" s="15">
        <v>1287</v>
      </c>
      <c r="C123">
        <v>99</v>
      </c>
      <c r="D123">
        <f t="shared" si="5"/>
        <v>1287</v>
      </c>
      <c r="E123">
        <f t="shared" si="4"/>
        <v>1827.8578956722667</v>
      </c>
      <c r="F123">
        <f t="shared" si="6"/>
        <v>292527.26331103256</v>
      </c>
      <c r="G123">
        <f t="shared" si="7"/>
        <v>500816.9418282549</v>
      </c>
    </row>
    <row r="124" spans="1:7" x14ac:dyDescent="0.2">
      <c r="A124" s="14">
        <v>27030</v>
      </c>
      <c r="B124" s="15">
        <v>731</v>
      </c>
      <c r="C124">
        <v>100</v>
      </c>
      <c r="D124">
        <f t="shared" si="5"/>
        <v>731</v>
      </c>
      <c r="E124">
        <f t="shared" si="4"/>
        <v>1811.602016172611</v>
      </c>
      <c r="F124">
        <f t="shared" si="6"/>
        <v>1167700.7173563119</v>
      </c>
      <c r="G124">
        <f t="shared" si="7"/>
        <v>1596897.7839335182</v>
      </c>
    </row>
    <row r="125" spans="1:7" x14ac:dyDescent="0.2">
      <c r="A125" s="14">
        <v>27089</v>
      </c>
      <c r="B125" s="15">
        <v>1111</v>
      </c>
      <c r="C125">
        <v>101</v>
      </c>
      <c r="D125">
        <f t="shared" si="5"/>
        <v>1111</v>
      </c>
      <c r="E125">
        <f t="shared" si="4"/>
        <v>1795.6327281206904</v>
      </c>
      <c r="F125">
        <f t="shared" si="6"/>
        <v>468721.97241397924</v>
      </c>
      <c r="G125">
        <f t="shared" si="7"/>
        <v>780897.78393351811</v>
      </c>
    </row>
    <row r="126" spans="1:7" x14ac:dyDescent="0.2">
      <c r="A126" s="14">
        <v>27120</v>
      </c>
      <c r="B126" s="15">
        <v>1249</v>
      </c>
      <c r="C126">
        <v>102</v>
      </c>
      <c r="D126">
        <f t="shared" si="5"/>
        <v>1249</v>
      </c>
      <c r="E126">
        <f t="shared" si="4"/>
        <v>1779.9425188224093</v>
      </c>
      <c r="F126">
        <f t="shared" si="6"/>
        <v>281899.95829348441</v>
      </c>
      <c r="G126">
        <f t="shared" si="7"/>
        <v>556044.94182825496</v>
      </c>
    </row>
    <row r="127" spans="1:7" x14ac:dyDescent="0.2">
      <c r="A127" s="14">
        <v>27150</v>
      </c>
      <c r="B127" s="15">
        <v>1433</v>
      </c>
      <c r="C127">
        <v>103</v>
      </c>
      <c r="D127">
        <f t="shared" si="5"/>
        <v>1433</v>
      </c>
      <c r="E127">
        <f t="shared" si="4"/>
        <v>1764.5241358922901</v>
      </c>
      <c r="F127">
        <f t="shared" si="6"/>
        <v>109908.25267912966</v>
      </c>
      <c r="G127">
        <f t="shared" si="7"/>
        <v>315489.15235457069</v>
      </c>
    </row>
    <row r="128" spans="1:7" x14ac:dyDescent="0.2">
      <c r="A128" s="14">
        <v>27181</v>
      </c>
      <c r="B128" s="15">
        <v>1691</v>
      </c>
      <c r="C128">
        <v>104</v>
      </c>
      <c r="D128">
        <f t="shared" si="5"/>
        <v>1691</v>
      </c>
      <c r="E128">
        <f t="shared" si="4"/>
        <v>1749.3705760759508</v>
      </c>
      <c r="F128">
        <f t="shared" si="6"/>
        <v>3407.1241514383591</v>
      </c>
      <c r="G128">
        <f t="shared" si="7"/>
        <v>92224.099722991712</v>
      </c>
    </row>
    <row r="129" spans="1:7" x14ac:dyDescent="0.2">
      <c r="A129" s="14">
        <v>27211</v>
      </c>
      <c r="B129" s="15">
        <v>1501</v>
      </c>
      <c r="C129">
        <v>105</v>
      </c>
      <c r="D129">
        <f t="shared" si="5"/>
        <v>1501</v>
      </c>
      <c r="E129">
        <f t="shared" si="4"/>
        <v>1734.4750746436221</v>
      </c>
      <c r="F129">
        <f t="shared" si="6"/>
        <v>54510.610479844894</v>
      </c>
      <c r="G129">
        <f t="shared" si="7"/>
        <v>243724.09972299173</v>
      </c>
    </row>
    <row r="130" spans="1:7" x14ac:dyDescent="0.2">
      <c r="A130" s="14">
        <v>27242</v>
      </c>
      <c r="B130" s="15">
        <v>1167</v>
      </c>
      <c r="C130">
        <v>106</v>
      </c>
      <c r="D130">
        <f t="shared" si="5"/>
        <v>1167</v>
      </c>
      <c r="E130">
        <f t="shared" si="4"/>
        <v>1719.8310953209673</v>
      </c>
      <c r="F130">
        <f t="shared" si="6"/>
        <v>305622.21995378041</v>
      </c>
      <c r="G130">
        <f t="shared" si="7"/>
        <v>685061.15235457069</v>
      </c>
    </row>
    <row r="131" spans="1:7" x14ac:dyDescent="0.2">
      <c r="A131" s="14">
        <v>27273</v>
      </c>
      <c r="B131" s="15">
        <v>1808</v>
      </c>
      <c r="C131">
        <v>107</v>
      </c>
      <c r="D131">
        <f t="shared" si="5"/>
        <v>1808</v>
      </c>
      <c r="E131">
        <f t="shared" si="4"/>
        <v>1705.432320725705</v>
      </c>
      <c r="F131">
        <f t="shared" si="6"/>
        <v>10520.128831714635</v>
      </c>
      <c r="G131">
        <f t="shared" si="7"/>
        <v>34850.994459833812</v>
      </c>
    </row>
    <row r="132" spans="1:7" x14ac:dyDescent="0.2">
      <c r="A132" s="14">
        <v>27303</v>
      </c>
      <c r="B132" s="15">
        <v>1779</v>
      </c>
      <c r="C132">
        <v>108</v>
      </c>
      <c r="D132">
        <f t="shared" si="5"/>
        <v>1779</v>
      </c>
      <c r="E132">
        <f t="shared" si="4"/>
        <v>1691.2726432806435</v>
      </c>
      <c r="F132">
        <f t="shared" si="6"/>
        <v>7696.0891169652277</v>
      </c>
      <c r="G132">
        <f t="shared" si="7"/>
        <v>46519.678670360132</v>
      </c>
    </row>
    <row r="133" spans="1:7" x14ac:dyDescent="0.2">
      <c r="A133" s="14">
        <v>27334</v>
      </c>
      <c r="B133" s="15">
        <v>1663</v>
      </c>
      <c r="C133">
        <v>109</v>
      </c>
      <c r="D133">
        <f t="shared" si="5"/>
        <v>1663</v>
      </c>
      <c r="E133">
        <f t="shared" si="4"/>
        <v>1677.3461565756661</v>
      </c>
      <c r="F133">
        <f t="shared" si="6"/>
        <v>205.81220849352769</v>
      </c>
      <c r="G133">
        <f t="shared" si="7"/>
        <v>110014.41551246541</v>
      </c>
    </row>
    <row r="134" spans="1:7" x14ac:dyDescent="0.2">
      <c r="A134" s="14">
        <v>27364</v>
      </c>
      <c r="B134" s="15">
        <v>1518</v>
      </c>
      <c r="C134">
        <v>110</v>
      </c>
      <c r="D134">
        <f t="shared" si="5"/>
        <v>1518</v>
      </c>
      <c r="E134">
        <f t="shared" si="4"/>
        <v>1663.6471471529997</v>
      </c>
      <c r="F134">
        <f t="shared" si="6"/>
        <v>21213.091473807533</v>
      </c>
      <c r="G134">
        <f t="shared" si="7"/>
        <v>227227.83656509701</v>
      </c>
    </row>
    <row r="135" spans="1:7" x14ac:dyDescent="0.2">
      <c r="A135" s="14">
        <v>27395</v>
      </c>
      <c r="B135" s="15">
        <v>1090</v>
      </c>
      <c r="C135">
        <v>111</v>
      </c>
      <c r="D135">
        <f t="shared" si="5"/>
        <v>1090</v>
      </c>
      <c r="E135">
        <f t="shared" si="4"/>
        <v>1650.1700866917633</v>
      </c>
      <c r="F135">
        <f t="shared" si="6"/>
        <v>313790.52602425765</v>
      </c>
      <c r="G135">
        <f t="shared" si="7"/>
        <v>818453.52077562339</v>
      </c>
    </row>
    <row r="136" spans="1:7" x14ac:dyDescent="0.2">
      <c r="A136" s="14">
        <v>27426</v>
      </c>
      <c r="B136" s="15">
        <v>761</v>
      </c>
      <c r="C136">
        <v>112</v>
      </c>
      <c r="D136">
        <f t="shared" si="5"/>
        <v>761</v>
      </c>
      <c r="E136">
        <f t="shared" si="4"/>
        <v>1636.9096245693397</v>
      </c>
      <c r="F136">
        <f t="shared" si="6"/>
        <v>767217.67041320167</v>
      </c>
      <c r="G136">
        <f t="shared" si="7"/>
        <v>1521976.7313019391</v>
      </c>
    </row>
    <row r="137" spans="1:7" x14ac:dyDescent="0.2">
      <c r="A137" s="14">
        <v>27454</v>
      </c>
      <c r="B137" s="15">
        <v>1581</v>
      </c>
      <c r="C137">
        <v>113</v>
      </c>
      <c r="D137">
        <f t="shared" si="5"/>
        <v>1581</v>
      </c>
      <c r="E137">
        <f t="shared" si="4"/>
        <v>1623.8605807785386</v>
      </c>
      <c r="F137">
        <f t="shared" si="6"/>
        <v>1837.0293846736354</v>
      </c>
      <c r="G137">
        <f t="shared" si="7"/>
        <v>171134.62603878119</v>
      </c>
    </row>
    <row r="138" spans="1:7" x14ac:dyDescent="0.2">
      <c r="A138" s="14">
        <v>27485</v>
      </c>
      <c r="B138" s="15">
        <v>1393</v>
      </c>
      <c r="C138">
        <v>114</v>
      </c>
      <c r="D138">
        <f t="shared" si="5"/>
        <v>1393</v>
      </c>
      <c r="E138">
        <f t="shared" si="4"/>
        <v>1611.0179391808583</v>
      </c>
      <c r="F138">
        <f t="shared" si="6"/>
        <v>47531.821804668434</v>
      </c>
      <c r="G138">
        <f t="shared" si="7"/>
        <v>362023.88919667597</v>
      </c>
    </row>
    <row r="139" spans="1:7" x14ac:dyDescent="0.2">
      <c r="A139" s="14">
        <v>27515</v>
      </c>
      <c r="B139" s="15">
        <v>1624</v>
      </c>
      <c r="C139">
        <v>115</v>
      </c>
      <c r="D139">
        <f t="shared" si="5"/>
        <v>1624</v>
      </c>
      <c r="E139">
        <f t="shared" si="4"/>
        <v>1598.3768410773821</v>
      </c>
      <c r="F139">
        <f t="shared" si="6"/>
        <v>656.54627317373354</v>
      </c>
      <c r="G139">
        <f t="shared" si="7"/>
        <v>137406.78393351805</v>
      </c>
    </row>
    <row r="140" spans="1:7" x14ac:dyDescent="0.2">
      <c r="A140" s="14">
        <v>27546</v>
      </c>
      <c r="B140" s="15">
        <v>1684</v>
      </c>
      <c r="C140">
        <v>116</v>
      </c>
      <c r="D140">
        <f t="shared" si="5"/>
        <v>1684</v>
      </c>
      <c r="E140">
        <f t="shared" ref="E140:E203" si="8">$E$5/(1+$D$5*C140)</f>
        <v>1585.9325790800003</v>
      </c>
      <c r="F140">
        <f t="shared" si="6"/>
        <v>9617.2190459003905</v>
      </c>
      <c r="G140">
        <f t="shared" si="7"/>
        <v>96524.678670360139</v>
      </c>
    </row>
    <row r="141" spans="1:7" x14ac:dyDescent="0.2">
      <c r="A141" s="14">
        <v>27576</v>
      </c>
      <c r="B141" s="15">
        <v>1403</v>
      </c>
      <c r="C141">
        <v>117</v>
      </c>
      <c r="D141">
        <f t="shared" ref="D141:D204" si="9">B141</f>
        <v>1403</v>
      </c>
      <c r="E141">
        <f t="shared" si="8"/>
        <v>1573.6805912667148</v>
      </c>
      <c r="F141">
        <f t="shared" ref="F141:F204" si="10">(D141-E141)^2</f>
        <v>29131.864235155372</v>
      </c>
      <c r="G141">
        <f t="shared" ref="G141:G204" si="11">(D141-$G$5)^2</f>
        <v>350090.20498614962</v>
      </c>
    </row>
    <row r="142" spans="1:7" x14ac:dyDescent="0.2">
      <c r="A142" s="14">
        <v>27607</v>
      </c>
      <c r="B142" s="15">
        <v>1405</v>
      </c>
      <c r="C142">
        <v>118</v>
      </c>
      <c r="D142">
        <f t="shared" si="9"/>
        <v>1405</v>
      </c>
      <c r="E142">
        <f t="shared" si="8"/>
        <v>1561.6164556057856</v>
      </c>
      <c r="F142">
        <f t="shared" si="10"/>
        <v>24528.714166519021</v>
      </c>
      <c r="G142">
        <f t="shared" si="11"/>
        <v>347727.4681440444</v>
      </c>
    </row>
    <row r="143" spans="1:7" x14ac:dyDescent="0.2">
      <c r="A143" s="14">
        <v>27638</v>
      </c>
      <c r="B143" s="15">
        <v>1663</v>
      </c>
      <c r="C143">
        <v>119</v>
      </c>
      <c r="D143">
        <f t="shared" si="9"/>
        <v>1663</v>
      </c>
      <c r="E143">
        <f t="shared" si="8"/>
        <v>1549.7358846343982</v>
      </c>
      <c r="F143">
        <f t="shared" si="10"/>
        <v>12828.759829552357</v>
      </c>
      <c r="G143">
        <f t="shared" si="11"/>
        <v>110014.41551246541</v>
      </c>
    </row>
    <row r="144" spans="1:7" x14ac:dyDescent="0.2">
      <c r="A144" s="14">
        <v>27668</v>
      </c>
      <c r="B144" s="15">
        <v>972</v>
      </c>
      <c r="C144">
        <v>120</v>
      </c>
      <c r="D144">
        <f t="shared" si="9"/>
        <v>972</v>
      </c>
      <c r="E144">
        <f t="shared" si="8"/>
        <v>1538.0347203783992</v>
      </c>
      <c r="F144">
        <f t="shared" si="10"/>
        <v>320395.30467385263</v>
      </c>
      <c r="G144">
        <f t="shared" si="11"/>
        <v>1045882.9944598339</v>
      </c>
    </row>
    <row r="145" spans="1:7" x14ac:dyDescent="0.2">
      <c r="A145" s="14">
        <v>27699</v>
      </c>
      <c r="B145" s="15">
        <v>1179</v>
      </c>
      <c r="C145">
        <v>121</v>
      </c>
      <c r="D145">
        <f t="shared" si="9"/>
        <v>1179</v>
      </c>
      <c r="E145">
        <f t="shared" si="8"/>
        <v>1526.5089295004605</v>
      </c>
      <c r="F145">
        <f t="shared" si="10"/>
        <v>120762.45608255599</v>
      </c>
      <c r="G145">
        <f t="shared" si="11"/>
        <v>665340.73130193911</v>
      </c>
    </row>
    <row r="146" spans="1:7" x14ac:dyDescent="0.2">
      <c r="A146" s="14">
        <v>27729</v>
      </c>
      <c r="B146" s="15">
        <v>1312</v>
      </c>
      <c r="C146">
        <v>122</v>
      </c>
      <c r="D146">
        <f t="shared" si="9"/>
        <v>1312</v>
      </c>
      <c r="E146">
        <f t="shared" si="8"/>
        <v>1515.1545986647684</v>
      </c>
      <c r="F146">
        <f t="shared" si="10"/>
        <v>41271.79095864312</v>
      </c>
      <c r="G146">
        <f t="shared" si="11"/>
        <v>466057.73130193911</v>
      </c>
    </row>
    <row r="147" spans="1:7" x14ac:dyDescent="0.2">
      <c r="A147" s="14">
        <v>27760</v>
      </c>
      <c r="B147" s="15">
        <v>1408</v>
      </c>
      <c r="C147">
        <v>123</v>
      </c>
      <c r="D147">
        <f t="shared" si="9"/>
        <v>1408</v>
      </c>
      <c r="E147">
        <f t="shared" si="8"/>
        <v>1503.9679301070585</v>
      </c>
      <c r="F147">
        <f t="shared" si="10"/>
        <v>9209.843609033258</v>
      </c>
      <c r="G147">
        <f t="shared" si="11"/>
        <v>344198.36288088647</v>
      </c>
    </row>
    <row r="148" spans="1:7" x14ac:dyDescent="0.2">
      <c r="A148" s="14">
        <v>27791</v>
      </c>
      <c r="B148" s="15">
        <v>1524</v>
      </c>
      <c r="C148">
        <v>124</v>
      </c>
      <c r="D148">
        <f t="shared" si="9"/>
        <v>1524</v>
      </c>
      <c r="E148">
        <f t="shared" si="8"/>
        <v>1492.9452373994513</v>
      </c>
      <c r="F148">
        <f t="shared" si="10"/>
        <v>964.39828017643549</v>
      </c>
      <c r="G148">
        <f t="shared" si="11"/>
        <v>221543.62603878122</v>
      </c>
    </row>
    <row r="149" spans="1:7" x14ac:dyDescent="0.2">
      <c r="A149" s="14">
        <v>27820</v>
      </c>
      <c r="B149" s="15">
        <v>1690</v>
      </c>
      <c r="C149">
        <v>125</v>
      </c>
      <c r="D149">
        <f t="shared" si="9"/>
        <v>1690</v>
      </c>
      <c r="E149">
        <f t="shared" si="8"/>
        <v>1482.0829414001757</v>
      </c>
      <c r="F149">
        <f t="shared" si="10"/>
        <v>43229.503256802753</v>
      </c>
      <c r="G149">
        <f t="shared" si="11"/>
        <v>92832.468144044353</v>
      </c>
    </row>
    <row r="150" spans="1:7" x14ac:dyDescent="0.2">
      <c r="A150" s="14">
        <v>27851</v>
      </c>
      <c r="B150" s="15">
        <v>1448</v>
      </c>
      <c r="C150">
        <v>126</v>
      </c>
      <c r="D150">
        <f t="shared" si="9"/>
        <v>1448</v>
      </c>
      <c r="E150">
        <f t="shared" si="8"/>
        <v>1471.3775663788249</v>
      </c>
      <c r="F150">
        <f t="shared" si="10"/>
        <v>546.51060979636407</v>
      </c>
      <c r="G150">
        <f t="shared" si="11"/>
        <v>298863.62603878119</v>
      </c>
    </row>
    <row r="151" spans="1:7" x14ac:dyDescent="0.2">
      <c r="A151" s="14">
        <v>27881</v>
      </c>
      <c r="B151" s="15">
        <v>1792</v>
      </c>
      <c r="C151">
        <v>127</v>
      </c>
      <c r="D151">
        <f t="shared" si="9"/>
        <v>1792</v>
      </c>
      <c r="E151">
        <f t="shared" si="8"/>
        <v>1460.8257363083385</v>
      </c>
      <c r="F151">
        <f t="shared" si="10"/>
        <v>109676.39293171414</v>
      </c>
      <c r="G151">
        <f t="shared" si="11"/>
        <v>41080.889196675918</v>
      </c>
    </row>
    <row r="152" spans="1:7" x14ac:dyDescent="0.2">
      <c r="A152" s="14">
        <v>27912</v>
      </c>
      <c r="B152" s="15">
        <v>1545</v>
      </c>
      <c r="C152">
        <v>128</v>
      </c>
      <c r="D152">
        <f t="shared" si="9"/>
        <v>1545</v>
      </c>
      <c r="E152">
        <f t="shared" si="8"/>
        <v>1450.4241713153965</v>
      </c>
      <c r="F152">
        <f t="shared" si="10"/>
        <v>8944.5873713794681</v>
      </c>
      <c r="G152">
        <f t="shared" si="11"/>
        <v>202215.88919667594</v>
      </c>
    </row>
    <row r="153" spans="1:7" x14ac:dyDescent="0.2">
      <c r="A153" s="14">
        <v>27942</v>
      </c>
      <c r="B153" s="15">
        <v>1626</v>
      </c>
      <c r="C153">
        <v>129</v>
      </c>
      <c r="D153">
        <f t="shared" si="9"/>
        <v>1626</v>
      </c>
      <c r="E153">
        <f t="shared" si="8"/>
        <v>1440.1696842813894</v>
      </c>
      <c r="F153">
        <f t="shared" si="10"/>
        <v>34532.906240078482</v>
      </c>
      <c r="G153">
        <f t="shared" si="11"/>
        <v>135928.04709141277</v>
      </c>
    </row>
    <row r="154" spans="1:7" x14ac:dyDescent="0.2">
      <c r="A154" s="14">
        <v>27973</v>
      </c>
      <c r="B154" s="15">
        <v>1848</v>
      </c>
      <c r="C154">
        <v>130</v>
      </c>
      <c r="D154">
        <f t="shared" si="9"/>
        <v>1848</v>
      </c>
      <c r="E154">
        <f t="shared" si="8"/>
        <v>1430.0591775865619</v>
      </c>
      <c r="F154">
        <f t="shared" si="10"/>
        <v>174674.53103962101</v>
      </c>
      <c r="G154">
        <f t="shared" si="11"/>
        <v>21516.257617728545</v>
      </c>
    </row>
    <row r="155" spans="1:7" x14ac:dyDescent="0.2">
      <c r="A155" s="14">
        <v>28004</v>
      </c>
      <c r="B155" s="15">
        <v>1711</v>
      </c>
      <c r="C155">
        <v>131</v>
      </c>
      <c r="D155">
        <f t="shared" si="9"/>
        <v>1711</v>
      </c>
      <c r="E155">
        <f t="shared" si="8"/>
        <v>1420.0896399903429</v>
      </c>
      <c r="F155">
        <f t="shared" si="10"/>
        <v>84628.837560948305</v>
      </c>
      <c r="G155">
        <f t="shared" si="11"/>
        <v>80476.731301939086</v>
      </c>
    </row>
    <row r="156" spans="1:7" x14ac:dyDescent="0.2">
      <c r="A156" s="14">
        <v>28034</v>
      </c>
      <c r="B156" s="15">
        <v>1482</v>
      </c>
      <c r="C156">
        <v>132</v>
      </c>
      <c r="D156">
        <f t="shared" si="9"/>
        <v>1482</v>
      </c>
      <c r="E156">
        <f t="shared" si="8"/>
        <v>1410.2581436412668</v>
      </c>
      <c r="F156">
        <f t="shared" si="10"/>
        <v>5146.8939537971119</v>
      </c>
      <c r="G156">
        <f t="shared" si="11"/>
        <v>262845.09972299176</v>
      </c>
    </row>
    <row r="157" spans="1:7" x14ac:dyDescent="0.2">
      <c r="A157" s="14">
        <v>28065</v>
      </c>
      <c r="B157" s="15">
        <v>1884</v>
      </c>
      <c r="C157">
        <v>133</v>
      </c>
      <c r="D157">
        <f t="shared" si="9"/>
        <v>1884</v>
      </c>
      <c r="E157">
        <f t="shared" si="8"/>
        <v>1400.5618412102401</v>
      </c>
      <c r="F157">
        <f t="shared" si="10"/>
        <v>233712.4533740331</v>
      </c>
      <c r="G157">
        <f t="shared" si="11"/>
        <v>12250.994459833806</v>
      </c>
    </row>
    <row r="158" spans="1:7" x14ac:dyDescent="0.2">
      <c r="A158" s="14">
        <v>28095</v>
      </c>
      <c r="B158" s="15">
        <v>1331</v>
      </c>
      <c r="C158">
        <v>134</v>
      </c>
      <c r="D158">
        <f t="shared" si="9"/>
        <v>1331</v>
      </c>
      <c r="E158">
        <f t="shared" si="8"/>
        <v>1390.9979631412684</v>
      </c>
      <c r="F158">
        <f t="shared" si="10"/>
        <v>3599.7555811010047</v>
      </c>
      <c r="G158">
        <f t="shared" si="11"/>
        <v>440476.73130193911</v>
      </c>
    </row>
    <row r="159" spans="1:7" x14ac:dyDescent="0.2">
      <c r="A159" s="14">
        <v>28126</v>
      </c>
      <c r="B159" s="15">
        <v>930</v>
      </c>
      <c r="C159">
        <v>135</v>
      </c>
      <c r="D159">
        <f t="shared" si="9"/>
        <v>930</v>
      </c>
      <c r="E159">
        <f t="shared" si="8"/>
        <v>1381.5638150140564</v>
      </c>
      <c r="F159">
        <f t="shared" si="10"/>
        <v>203909.87903004899</v>
      </c>
      <c r="G159">
        <f t="shared" si="11"/>
        <v>1133552.4681440445</v>
      </c>
    </row>
    <row r="160" spans="1:7" x14ac:dyDescent="0.2">
      <c r="A160" s="14">
        <v>28157</v>
      </c>
      <c r="B160" s="15">
        <v>1358</v>
      </c>
      <c r="C160">
        <v>136</v>
      </c>
      <c r="D160">
        <f t="shared" si="9"/>
        <v>1358</v>
      </c>
      <c r="E160">
        <f t="shared" si="8"/>
        <v>1372.256775013215</v>
      </c>
      <c r="F160">
        <f t="shared" si="10"/>
        <v>203.25563377743211</v>
      </c>
      <c r="G160">
        <f t="shared" si="11"/>
        <v>405366.78393351805</v>
      </c>
    </row>
    <row r="161" spans="1:7" x14ac:dyDescent="0.2">
      <c r="A161" s="14">
        <v>28185</v>
      </c>
      <c r="B161" s="15">
        <v>1465</v>
      </c>
      <c r="C161">
        <v>137</v>
      </c>
      <c r="D161">
        <f t="shared" si="9"/>
        <v>1465</v>
      </c>
      <c r="E161">
        <f t="shared" si="8"/>
        <v>1363.0742914990738</v>
      </c>
      <c r="F161">
        <f t="shared" si="10"/>
        <v>10388.85005341579</v>
      </c>
      <c r="G161">
        <f t="shared" si="11"/>
        <v>280565.36288088647</v>
      </c>
    </row>
    <row r="162" spans="1:7" x14ac:dyDescent="0.2">
      <c r="A162" s="14">
        <v>28216</v>
      </c>
      <c r="B162" s="15">
        <v>1323</v>
      </c>
      <c r="C162">
        <v>138</v>
      </c>
      <c r="D162">
        <f t="shared" si="9"/>
        <v>1323</v>
      </c>
      <c r="E162">
        <f t="shared" si="8"/>
        <v>1354.0138806753778</v>
      </c>
      <c r="F162">
        <f t="shared" si="10"/>
        <v>961.86079454657113</v>
      </c>
      <c r="G162">
        <f t="shared" si="11"/>
        <v>451159.67867036018</v>
      </c>
    </row>
    <row r="163" spans="1:7" x14ac:dyDescent="0.2">
      <c r="A163" s="14">
        <v>28246</v>
      </c>
      <c r="B163" s="15">
        <v>1395</v>
      </c>
      <c r="C163">
        <v>139</v>
      </c>
      <c r="D163">
        <f t="shared" si="9"/>
        <v>1395</v>
      </c>
      <c r="E163">
        <f t="shared" si="8"/>
        <v>1345.0731243493856</v>
      </c>
      <c r="F163">
        <f t="shared" si="10"/>
        <v>2492.6929122319152</v>
      </c>
      <c r="G163">
        <f t="shared" si="11"/>
        <v>359621.15235457069</v>
      </c>
    </row>
    <row r="164" spans="1:7" x14ac:dyDescent="0.2">
      <c r="A164" s="14">
        <v>28277</v>
      </c>
      <c r="B164" s="15">
        <v>1307</v>
      </c>
      <c r="C164">
        <v>140</v>
      </c>
      <c r="D164">
        <f t="shared" si="9"/>
        <v>1307</v>
      </c>
      <c r="E164">
        <f t="shared" si="8"/>
        <v>1336.2496677801287</v>
      </c>
      <c r="F164">
        <f t="shared" si="10"/>
        <v>855.54306524789752</v>
      </c>
      <c r="G164">
        <f t="shared" si="11"/>
        <v>472909.57340720226</v>
      </c>
    </row>
    <row r="165" spans="1:7" x14ac:dyDescent="0.2">
      <c r="A165" s="14">
        <v>28307</v>
      </c>
      <c r="B165" s="15">
        <v>1649</v>
      </c>
      <c r="C165">
        <v>141</v>
      </c>
      <c r="D165">
        <f t="shared" si="9"/>
        <v>1649</v>
      </c>
      <c r="E165">
        <f t="shared" si="8"/>
        <v>1327.5412176108093</v>
      </c>
      <c r="F165">
        <f t="shared" si="10"/>
        <v>103335.74877514104</v>
      </c>
      <c r="G165">
        <f t="shared" si="11"/>
        <v>119497.57340720225</v>
      </c>
    </row>
    <row r="166" spans="1:7" x14ac:dyDescent="0.2">
      <c r="A166" s="14">
        <v>28338</v>
      </c>
      <c r="B166" s="15">
        <v>1395</v>
      </c>
      <c r="C166">
        <v>142</v>
      </c>
      <c r="D166">
        <f t="shared" si="9"/>
        <v>1395</v>
      </c>
      <c r="E166">
        <f t="shared" si="8"/>
        <v>1318.9455398815223</v>
      </c>
      <c r="F166">
        <f t="shared" si="10"/>
        <v>5784.2809039131098</v>
      </c>
      <c r="G166">
        <f t="shared" si="11"/>
        <v>359621.15235457069</v>
      </c>
    </row>
    <row r="167" spans="1:7" x14ac:dyDescent="0.2">
      <c r="A167" s="14">
        <v>28369</v>
      </c>
      <c r="B167" s="15">
        <v>1434</v>
      </c>
      <c r="C167">
        <v>143</v>
      </c>
      <c r="D167">
        <f t="shared" si="9"/>
        <v>1434</v>
      </c>
      <c r="E167">
        <f t="shared" si="8"/>
        <v>1310.4604581186873</v>
      </c>
      <c r="F167">
        <f t="shared" si="10"/>
        <v>15262.018408244625</v>
      </c>
      <c r="G167">
        <f t="shared" si="11"/>
        <v>314366.78393351805</v>
      </c>
    </row>
    <row r="168" spans="1:7" x14ac:dyDescent="0.2">
      <c r="A168" s="14">
        <v>28399</v>
      </c>
      <c r="B168" s="15">
        <v>1354</v>
      </c>
      <c r="C168">
        <v>144</v>
      </c>
      <c r="D168">
        <f t="shared" si="9"/>
        <v>1354</v>
      </c>
      <c r="E168">
        <f t="shared" si="8"/>
        <v>1302.0838514977509</v>
      </c>
      <c r="F168">
        <f t="shared" si="10"/>
        <v>2695.286475307586</v>
      </c>
      <c r="G168">
        <f t="shared" si="11"/>
        <v>410476.25761772861</v>
      </c>
    </row>
    <row r="169" spans="1:7" x14ac:dyDescent="0.2">
      <c r="A169" s="14">
        <v>28430</v>
      </c>
      <c r="B169" s="15">
        <v>1052</v>
      </c>
      <c r="C169">
        <v>145</v>
      </c>
      <c r="D169">
        <f t="shared" si="9"/>
        <v>1052</v>
      </c>
      <c r="E169">
        <f t="shared" si="8"/>
        <v>1293.8136530759136</v>
      </c>
      <c r="F169">
        <f t="shared" si="10"/>
        <v>58473.842813918316</v>
      </c>
      <c r="G169">
        <f t="shared" si="11"/>
        <v>888653.52077562339</v>
      </c>
    </row>
    <row r="170" spans="1:7" x14ac:dyDescent="0.2">
      <c r="A170" s="14">
        <v>28460</v>
      </c>
      <c r="B170" s="15">
        <v>597</v>
      </c>
      <c r="C170">
        <v>146</v>
      </c>
      <c r="D170">
        <f t="shared" si="9"/>
        <v>597</v>
      </c>
      <c r="E170">
        <f t="shared" si="8"/>
        <v>1285.6478480917747</v>
      </c>
      <c r="F170">
        <f t="shared" si="10"/>
        <v>474235.85868143197</v>
      </c>
      <c r="G170">
        <f t="shared" si="11"/>
        <v>1953521.1523545708</v>
      </c>
    </row>
    <row r="171" spans="1:7" x14ac:dyDescent="0.2">
      <c r="A171" s="14">
        <v>28491</v>
      </c>
      <c r="B171" s="15">
        <v>459</v>
      </c>
      <c r="C171">
        <v>147</v>
      </c>
      <c r="D171">
        <f t="shared" si="9"/>
        <v>459</v>
      </c>
      <c r="E171">
        <f t="shared" si="8"/>
        <v>1277.5844723289667</v>
      </c>
      <c r="F171">
        <f t="shared" si="10"/>
        <v>670080.53833809297</v>
      </c>
      <c r="G171">
        <f t="shared" si="11"/>
        <v>2358325.9944598339</v>
      </c>
    </row>
    <row r="172" spans="1:7" x14ac:dyDescent="0.2">
      <c r="A172" s="14">
        <v>28522</v>
      </c>
      <c r="B172" s="15">
        <v>819</v>
      </c>
      <c r="C172">
        <v>148</v>
      </c>
      <c r="D172">
        <f t="shared" si="9"/>
        <v>819</v>
      </c>
      <c r="E172">
        <f t="shared" si="8"/>
        <v>1269.6216105409828</v>
      </c>
      <c r="F172">
        <f t="shared" si="10"/>
        <v>203059.8358865492</v>
      </c>
      <c r="G172">
        <f t="shared" si="11"/>
        <v>1382233.3628808865</v>
      </c>
    </row>
    <row r="173" spans="1:7" x14ac:dyDescent="0.2">
      <c r="A173" s="14">
        <v>28550</v>
      </c>
      <c r="B173" s="15">
        <v>1335</v>
      </c>
      <c r="C173">
        <v>149</v>
      </c>
      <c r="D173">
        <f t="shared" si="9"/>
        <v>1335</v>
      </c>
      <c r="E173">
        <f t="shared" si="8"/>
        <v>1261.7573949345467</v>
      </c>
      <c r="F173">
        <f t="shared" si="10"/>
        <v>5364.4791967739638</v>
      </c>
      <c r="G173">
        <f t="shared" si="11"/>
        <v>435183.25761772861</v>
      </c>
    </row>
    <row r="174" spans="1:7" x14ac:dyDescent="0.2">
      <c r="A174" s="14">
        <v>28581</v>
      </c>
      <c r="B174" s="15">
        <v>1188</v>
      </c>
      <c r="C174">
        <v>150</v>
      </c>
      <c r="D174">
        <f t="shared" si="9"/>
        <v>1188</v>
      </c>
      <c r="E174">
        <f t="shared" si="8"/>
        <v>1253.9900037089976</v>
      </c>
      <c r="F174">
        <f t="shared" si="10"/>
        <v>4354.6805895135194</v>
      </c>
      <c r="G174">
        <f t="shared" si="11"/>
        <v>650739.41551246541</v>
      </c>
    </row>
    <row r="175" spans="1:7" x14ac:dyDescent="0.2">
      <c r="A175" s="14">
        <v>28611</v>
      </c>
      <c r="B175" s="15">
        <v>1419</v>
      </c>
      <c r="C175">
        <v>151</v>
      </c>
      <c r="D175">
        <f t="shared" si="9"/>
        <v>1419</v>
      </c>
      <c r="E175">
        <f t="shared" si="8"/>
        <v>1246.3176596492992</v>
      </c>
      <c r="F175">
        <f t="shared" si="10"/>
        <v>29819.190668995259</v>
      </c>
      <c r="G175">
        <f t="shared" si="11"/>
        <v>331412.31024930754</v>
      </c>
    </row>
    <row r="176" spans="1:7" x14ac:dyDescent="0.2">
      <c r="A176" s="14">
        <v>28642</v>
      </c>
      <c r="B176" s="15">
        <v>1385</v>
      </c>
      <c r="C176">
        <v>152</v>
      </c>
      <c r="D176">
        <f t="shared" si="9"/>
        <v>1385</v>
      </c>
      <c r="E176">
        <f t="shared" si="8"/>
        <v>1238.738628770381</v>
      </c>
      <c r="F176">
        <f t="shared" si="10"/>
        <v>21392.388713968434</v>
      </c>
      <c r="G176">
        <f t="shared" si="11"/>
        <v>371714.83656509704</v>
      </c>
    </row>
    <row r="177" spans="1:7" x14ac:dyDescent="0.2">
      <c r="A177" s="14">
        <v>28672</v>
      </c>
      <c r="B177" s="15">
        <v>1440</v>
      </c>
      <c r="C177">
        <v>153</v>
      </c>
      <c r="D177">
        <f t="shared" si="9"/>
        <v>1440</v>
      </c>
      <c r="E177">
        <f t="shared" si="8"/>
        <v>1231.2512190106465</v>
      </c>
      <c r="F177">
        <f t="shared" si="10"/>
        <v>43576.053564541056</v>
      </c>
      <c r="G177">
        <f t="shared" si="11"/>
        <v>307674.57340720226</v>
      </c>
    </row>
    <row r="178" spans="1:7" x14ac:dyDescent="0.2">
      <c r="A178" s="14">
        <v>28703</v>
      </c>
      <c r="B178" s="15">
        <v>1228</v>
      </c>
      <c r="C178">
        <v>154</v>
      </c>
      <c r="D178">
        <f t="shared" si="9"/>
        <v>1228</v>
      </c>
      <c r="E178">
        <f t="shared" si="8"/>
        <v>1223.8537789725785</v>
      </c>
      <c r="F178">
        <f t="shared" si="10"/>
        <v>17.191148808231876</v>
      </c>
      <c r="G178">
        <f t="shared" si="11"/>
        <v>587804.67867036024</v>
      </c>
    </row>
    <row r="179" spans="1:7" x14ac:dyDescent="0.2">
      <c r="A179" s="14">
        <v>28734</v>
      </c>
      <c r="B179" s="15">
        <v>1201</v>
      </c>
      <c r="C179">
        <v>155</v>
      </c>
      <c r="D179">
        <f t="shared" si="9"/>
        <v>1201</v>
      </c>
      <c r="E179">
        <f t="shared" si="8"/>
        <v>1216.544696708472</v>
      </c>
      <c r="F179">
        <f t="shared" si="10"/>
        <v>241.63759575837943</v>
      </c>
      <c r="G179">
        <f t="shared" si="11"/>
        <v>629934.62603878125</v>
      </c>
    </row>
    <row r="180" spans="1:7" x14ac:dyDescent="0.2">
      <c r="A180" s="14">
        <v>28764</v>
      </c>
      <c r="B180" s="15">
        <v>1254</v>
      </c>
      <c r="C180">
        <v>156</v>
      </c>
      <c r="D180">
        <f t="shared" si="9"/>
        <v>1254</v>
      </c>
      <c r="E180">
        <f t="shared" si="8"/>
        <v>1209.3223985494185</v>
      </c>
      <c r="F180">
        <f t="shared" si="10"/>
        <v>1996.0880713770027</v>
      </c>
      <c r="G180">
        <f t="shared" si="11"/>
        <v>548613.09972299181</v>
      </c>
    </row>
    <row r="181" spans="1:7" x14ac:dyDescent="0.2">
      <c r="A181" s="14">
        <v>28795</v>
      </c>
      <c r="B181" s="15">
        <v>1057</v>
      </c>
      <c r="C181">
        <v>157</v>
      </c>
      <c r="D181">
        <f t="shared" si="9"/>
        <v>1057</v>
      </c>
      <c r="E181">
        <f t="shared" si="8"/>
        <v>1202.1853479757583</v>
      </c>
      <c r="F181">
        <f t="shared" si="10"/>
        <v>21078.785266842027</v>
      </c>
      <c r="G181">
        <f t="shared" si="11"/>
        <v>879251.67867036024</v>
      </c>
    </row>
    <row r="182" spans="1:7" x14ac:dyDescent="0.2">
      <c r="A182" s="14">
        <v>28825</v>
      </c>
      <c r="B182" s="15">
        <v>942</v>
      </c>
      <c r="C182">
        <v>158</v>
      </c>
      <c r="D182">
        <f t="shared" si="9"/>
        <v>942</v>
      </c>
      <c r="E182">
        <f t="shared" si="8"/>
        <v>1195.1320445272945</v>
      </c>
      <c r="F182">
        <f t="shared" si="10"/>
        <v>64075.831966568214</v>
      </c>
      <c r="G182">
        <f t="shared" si="11"/>
        <v>1108144.0470914128</v>
      </c>
    </row>
    <row r="183" spans="1:7" x14ac:dyDescent="0.2">
      <c r="A183" s="14">
        <v>28856</v>
      </c>
      <c r="B183" s="15">
        <v>605</v>
      </c>
      <c r="C183">
        <v>159</v>
      </c>
      <c r="D183">
        <f t="shared" si="9"/>
        <v>605</v>
      </c>
      <c r="E183">
        <f t="shared" si="8"/>
        <v>1188.161022751646</v>
      </c>
      <c r="F183">
        <f t="shared" si="10"/>
        <v>340076.77845674579</v>
      </c>
      <c r="G183">
        <f t="shared" si="11"/>
        <v>1931222.2049861497</v>
      </c>
    </row>
    <row r="184" spans="1:7" x14ac:dyDescent="0.2">
      <c r="A184" s="14">
        <v>28887</v>
      </c>
      <c r="B184" s="15">
        <v>506</v>
      </c>
      <c r="C184">
        <v>160</v>
      </c>
      <c r="D184">
        <f t="shared" si="9"/>
        <v>506</v>
      </c>
      <c r="E184">
        <f t="shared" si="8"/>
        <v>1181.2708511891926</v>
      </c>
      <c r="F184">
        <f t="shared" si="10"/>
        <v>455990.72246577672</v>
      </c>
      <c r="G184">
        <f t="shared" si="11"/>
        <v>2216180.6786703602</v>
      </c>
    </row>
    <row r="185" spans="1:7" x14ac:dyDescent="0.2">
      <c r="A185" s="14">
        <v>28915</v>
      </c>
      <c r="B185" s="15">
        <v>744</v>
      </c>
      <c r="C185">
        <v>161</v>
      </c>
      <c r="D185">
        <f t="shared" si="9"/>
        <v>744</v>
      </c>
      <c r="E185">
        <f t="shared" si="8"/>
        <v>1174.4601313931339</v>
      </c>
      <c r="F185">
        <f t="shared" si="10"/>
        <v>185295.92471899409</v>
      </c>
      <c r="G185">
        <f t="shared" si="11"/>
        <v>1564210.9944598339</v>
      </c>
    </row>
    <row r="186" spans="1:7" x14ac:dyDescent="0.2">
      <c r="A186" s="14">
        <v>28946</v>
      </c>
      <c r="B186" s="15">
        <v>923</v>
      </c>
      <c r="C186">
        <v>162</v>
      </c>
      <c r="D186">
        <f t="shared" si="9"/>
        <v>923</v>
      </c>
      <c r="E186">
        <f t="shared" si="8"/>
        <v>1167.7274969832526</v>
      </c>
      <c r="F186">
        <f t="shared" si="10"/>
        <v>59891.547779687935</v>
      </c>
      <c r="G186">
        <f t="shared" si="11"/>
        <v>1148507.0470914128</v>
      </c>
    </row>
    <row r="187" spans="1:7" x14ac:dyDescent="0.2">
      <c r="A187" s="14">
        <v>28976</v>
      </c>
      <c r="B187" s="15">
        <v>1036</v>
      </c>
      <c r="C187">
        <v>163</v>
      </c>
      <c r="D187">
        <f t="shared" si="9"/>
        <v>1036</v>
      </c>
      <c r="E187">
        <f t="shared" si="8"/>
        <v>1161.0716127320406</v>
      </c>
      <c r="F187">
        <f t="shared" si="10"/>
        <v>15642.908311393552</v>
      </c>
      <c r="G187">
        <f t="shared" si="11"/>
        <v>919075.41551246552</v>
      </c>
    </row>
    <row r="188" spans="1:7" x14ac:dyDescent="0.2">
      <c r="A188" s="14">
        <v>29007</v>
      </c>
      <c r="B188" s="15">
        <v>1144</v>
      </c>
      <c r="C188">
        <v>164</v>
      </c>
      <c r="D188">
        <f t="shared" si="9"/>
        <v>1144</v>
      </c>
      <c r="E188">
        <f t="shared" si="8"/>
        <v>1154.491173681899</v>
      </c>
      <c r="F188">
        <f t="shared" si="10"/>
        <v>110.06472522377021</v>
      </c>
      <c r="G188">
        <f t="shared" si="11"/>
        <v>723663.62603878125</v>
      </c>
    </row>
    <row r="189" spans="1:7" x14ac:dyDescent="0.2">
      <c r="A189" s="14">
        <v>29037</v>
      </c>
      <c r="B189" s="15">
        <v>1163</v>
      </c>
      <c r="C189">
        <v>165</v>
      </c>
      <c r="D189">
        <f t="shared" si="9"/>
        <v>1163</v>
      </c>
      <c r="E189">
        <f t="shared" si="8"/>
        <v>1147.984904292191</v>
      </c>
      <c r="F189">
        <f t="shared" si="10"/>
        <v>225.45309911466413</v>
      </c>
      <c r="G189">
        <f t="shared" si="11"/>
        <v>691698.62603878125</v>
      </c>
    </row>
    <row r="190" spans="1:7" x14ac:dyDescent="0.2">
      <c r="A190" s="14">
        <v>29068</v>
      </c>
      <c r="B190" s="15">
        <v>1093</v>
      </c>
      <c r="C190">
        <v>166</v>
      </c>
      <c r="D190">
        <f t="shared" si="9"/>
        <v>1093</v>
      </c>
      <c r="E190">
        <f t="shared" si="8"/>
        <v>1141.551557614973</v>
      </c>
      <c r="F190">
        <f t="shared" si="10"/>
        <v>2357.253746840046</v>
      </c>
      <c r="G190">
        <f t="shared" si="11"/>
        <v>813034.41551246541</v>
      </c>
    </row>
    <row r="191" spans="1:7" x14ac:dyDescent="0.2">
      <c r="A191" s="14">
        <v>29099</v>
      </c>
      <c r="B191" s="15">
        <v>1241</v>
      </c>
      <c r="C191">
        <v>167</v>
      </c>
      <c r="D191">
        <f t="shared" si="9"/>
        <v>1241</v>
      </c>
      <c r="E191">
        <f t="shared" si="8"/>
        <v>1135.1899144982881</v>
      </c>
      <c r="F191">
        <f t="shared" si="10"/>
        <v>11195.774193879584</v>
      </c>
      <c r="G191">
        <f t="shared" si="11"/>
        <v>568039.88919667597</v>
      </c>
    </row>
    <row r="192" spans="1:7" x14ac:dyDescent="0.2">
      <c r="A192" s="14">
        <v>29129</v>
      </c>
      <c r="B192" s="15">
        <v>1302</v>
      </c>
      <c r="C192">
        <v>168</v>
      </c>
      <c r="D192">
        <f t="shared" si="9"/>
        <v>1302</v>
      </c>
      <c r="E192">
        <f t="shared" si="8"/>
        <v>1128.8987828159488</v>
      </c>
      <c r="F192">
        <f t="shared" si="10"/>
        <v>29964.031390600052</v>
      </c>
      <c r="G192">
        <f t="shared" si="11"/>
        <v>479811.41551246546</v>
      </c>
    </row>
    <row r="193" spans="1:7" x14ac:dyDescent="0.2">
      <c r="A193" s="14">
        <v>29160</v>
      </c>
      <c r="B193" s="15">
        <v>1235</v>
      </c>
      <c r="C193">
        <v>169</v>
      </c>
      <c r="D193">
        <f t="shared" si="9"/>
        <v>1235</v>
      </c>
      <c r="E193">
        <f t="shared" si="8"/>
        <v>1122.6769967227931</v>
      </c>
      <c r="F193">
        <f t="shared" si="10"/>
        <v>12616.457065211434</v>
      </c>
      <c r="G193">
        <f t="shared" si="11"/>
        <v>577120.09972299181</v>
      </c>
    </row>
    <row r="194" spans="1:7" x14ac:dyDescent="0.2">
      <c r="A194" s="14">
        <v>29190</v>
      </c>
      <c r="B194" s="15">
        <v>1248</v>
      </c>
      <c r="C194">
        <v>170</v>
      </c>
      <c r="D194">
        <f t="shared" si="9"/>
        <v>1248</v>
      </c>
      <c r="E194">
        <f t="shared" si="8"/>
        <v>1116.5234159344288</v>
      </c>
      <c r="F194">
        <f t="shared" si="10"/>
        <v>17286.0921575512</v>
      </c>
      <c r="G194">
        <f t="shared" si="11"/>
        <v>557537.31024930754</v>
      </c>
    </row>
    <row r="195" spans="1:7" x14ac:dyDescent="0.2">
      <c r="A195" s="14">
        <v>29221</v>
      </c>
      <c r="B195" s="15">
        <v>1047</v>
      </c>
      <c r="C195">
        <v>171</v>
      </c>
      <c r="D195">
        <f t="shared" si="9"/>
        <v>1047</v>
      </c>
      <c r="E195">
        <f t="shared" si="8"/>
        <v>1110.4369250305406</v>
      </c>
      <c r="F195">
        <f t="shared" si="10"/>
        <v>4024.2434573304258</v>
      </c>
      <c r="G195">
        <f t="shared" si="11"/>
        <v>898105.36288088653</v>
      </c>
    </row>
    <row r="196" spans="1:7" x14ac:dyDescent="0.2">
      <c r="A196" s="14">
        <v>29252</v>
      </c>
      <c r="B196" s="15">
        <v>1235</v>
      </c>
      <c r="C196">
        <v>172</v>
      </c>
      <c r="D196">
        <f t="shared" si="9"/>
        <v>1235</v>
      </c>
      <c r="E196">
        <f t="shared" si="8"/>
        <v>1104.4164327808553</v>
      </c>
      <c r="F196">
        <f t="shared" si="10"/>
        <v>17052.06802767688</v>
      </c>
      <c r="G196">
        <f t="shared" si="11"/>
        <v>577120.09972299181</v>
      </c>
    </row>
    <row r="197" spans="1:7" x14ac:dyDescent="0.2">
      <c r="A197" s="14">
        <v>29281</v>
      </c>
      <c r="B197" s="15">
        <v>1206</v>
      </c>
      <c r="C197">
        <v>173</v>
      </c>
      <c r="D197">
        <f t="shared" si="9"/>
        <v>1206</v>
      </c>
      <c r="E197">
        <f t="shared" si="8"/>
        <v>1098.4608714929202</v>
      </c>
      <c r="F197">
        <f t="shared" si="10"/>
        <v>11564.664160062222</v>
      </c>
      <c r="G197">
        <f t="shared" si="11"/>
        <v>622022.78393351811</v>
      </c>
    </row>
    <row r="198" spans="1:7" x14ac:dyDescent="0.2">
      <c r="A198" s="14">
        <v>29312</v>
      </c>
      <c r="B198" s="15">
        <v>1266</v>
      </c>
      <c r="C198">
        <v>174</v>
      </c>
      <c r="D198">
        <f t="shared" si="9"/>
        <v>1266</v>
      </c>
      <c r="E198">
        <f t="shared" si="8"/>
        <v>1092.5691963808679</v>
      </c>
      <c r="F198">
        <f t="shared" si="10"/>
        <v>30078.24364397797</v>
      </c>
      <c r="G198">
        <f t="shared" si="11"/>
        <v>530980.67867036012</v>
      </c>
    </row>
    <row r="199" spans="1:7" x14ac:dyDescent="0.2">
      <c r="A199" s="14">
        <v>29342</v>
      </c>
      <c r="B199" s="15">
        <v>1287</v>
      </c>
      <c r="C199">
        <v>175</v>
      </c>
      <c r="D199">
        <f t="shared" si="9"/>
        <v>1287</v>
      </c>
      <c r="E199">
        <f t="shared" si="8"/>
        <v>1086.7403849543891</v>
      </c>
      <c r="F199">
        <f t="shared" si="10"/>
        <v>40103.91341821626</v>
      </c>
      <c r="G199">
        <f t="shared" si="11"/>
        <v>500816.9418282549</v>
      </c>
    </row>
    <row r="200" spans="1:7" x14ac:dyDescent="0.2">
      <c r="A200" s="14">
        <v>29373</v>
      </c>
      <c r="B200" s="15">
        <v>1227</v>
      </c>
      <c r="C200">
        <v>176</v>
      </c>
      <c r="D200">
        <f t="shared" si="9"/>
        <v>1227</v>
      </c>
      <c r="E200">
        <f t="shared" si="8"/>
        <v>1080.973436427158</v>
      </c>
      <c r="F200">
        <f t="shared" si="10"/>
        <v>21323.757268893252</v>
      </c>
      <c r="G200">
        <f t="shared" si="11"/>
        <v>589339.04709141282</v>
      </c>
    </row>
    <row r="201" spans="1:7" x14ac:dyDescent="0.2">
      <c r="A201" s="14">
        <v>29403</v>
      </c>
      <c r="B201" s="15">
        <v>1110</v>
      </c>
      <c r="C201">
        <v>177</v>
      </c>
      <c r="D201">
        <f t="shared" si="9"/>
        <v>1110</v>
      </c>
      <c r="E201">
        <f t="shared" si="8"/>
        <v>1075.2673711439959</v>
      </c>
      <c r="F201">
        <f t="shared" si="10"/>
        <v>1206.3555072489296</v>
      </c>
      <c r="G201">
        <f t="shared" si="11"/>
        <v>782666.15235457069</v>
      </c>
    </row>
    <row r="202" spans="1:7" x14ac:dyDescent="0.2">
      <c r="A202" s="14">
        <v>29434</v>
      </c>
      <c r="B202" s="15">
        <v>1141</v>
      </c>
      <c r="C202">
        <v>178</v>
      </c>
      <c r="D202">
        <f t="shared" si="9"/>
        <v>1141</v>
      </c>
      <c r="E202">
        <f t="shared" si="8"/>
        <v>1069.6212300260813</v>
      </c>
      <c r="F202">
        <f t="shared" si="10"/>
        <v>5094.9288029895952</v>
      </c>
      <c r="G202">
        <f t="shared" si="11"/>
        <v>728776.73130193911</v>
      </c>
    </row>
    <row r="203" spans="1:7" x14ac:dyDescent="0.2">
      <c r="A203" s="14">
        <v>29465</v>
      </c>
      <c r="B203" s="15">
        <v>1172</v>
      </c>
      <c r="C203">
        <v>179</v>
      </c>
      <c r="D203">
        <f t="shared" si="9"/>
        <v>1172</v>
      </c>
      <c r="E203">
        <f t="shared" si="8"/>
        <v>1064.0340740335475</v>
      </c>
      <c r="F203">
        <f t="shared" si="10"/>
        <v>11656.641169793493</v>
      </c>
      <c r="G203">
        <f t="shared" si="11"/>
        <v>676809.31024930754</v>
      </c>
    </row>
    <row r="204" spans="1:7" x14ac:dyDescent="0.2">
      <c r="A204" s="14">
        <v>29495</v>
      </c>
      <c r="B204" s="15">
        <v>833</v>
      </c>
      <c r="C204">
        <v>180</v>
      </c>
      <c r="D204">
        <f t="shared" si="9"/>
        <v>833</v>
      </c>
      <c r="E204">
        <f t="shared" ref="E204:E235" si="12">$E$5/(1+$D$5*C204)</f>
        <v>1058.504983644837</v>
      </c>
      <c r="F204">
        <f t="shared" si="10"/>
        <v>50852.497648658209</v>
      </c>
      <c r="G204">
        <f t="shared" si="11"/>
        <v>1349510.2049861497</v>
      </c>
    </row>
    <row r="205" spans="1:7" x14ac:dyDescent="0.2">
      <c r="A205" s="14">
        <v>29526</v>
      </c>
      <c r="B205" s="15">
        <v>910</v>
      </c>
      <c r="C205">
        <v>181</v>
      </c>
      <c r="D205">
        <f t="shared" ref="D205:D268" si="13">B205</f>
        <v>910</v>
      </c>
      <c r="E205">
        <f t="shared" si="12"/>
        <v>1053.0330583522018</v>
      </c>
      <c r="F205">
        <f t="shared" ref="F205:F268" si="14">(D205-E205)^2</f>
        <v>20458.455781584365</v>
      </c>
      <c r="G205">
        <f t="shared" ref="G205:G268" si="15">(D205-$G$5)^2</f>
        <v>1176539.8365650971</v>
      </c>
    </row>
    <row r="206" spans="1:7" x14ac:dyDescent="0.2">
      <c r="A206" s="14">
        <v>29556</v>
      </c>
      <c r="B206" s="15">
        <v>998</v>
      </c>
      <c r="C206">
        <v>182</v>
      </c>
      <c r="D206">
        <f t="shared" si="13"/>
        <v>998</v>
      </c>
      <c r="E206">
        <f t="shared" si="12"/>
        <v>1047.6174161727747</v>
      </c>
      <c r="F206">
        <f t="shared" si="14"/>
        <v>2461.8879876623255</v>
      </c>
      <c r="G206">
        <f t="shared" si="15"/>
        <v>993379.41551246552</v>
      </c>
    </row>
    <row r="207" spans="1:7" x14ac:dyDescent="0.2">
      <c r="A207" s="14">
        <v>29587</v>
      </c>
      <c r="B207" s="15">
        <v>1176</v>
      </c>
      <c r="C207">
        <v>183</v>
      </c>
      <c r="D207">
        <f t="shared" si="13"/>
        <v>1176</v>
      </c>
      <c r="E207">
        <f t="shared" si="12"/>
        <v>1042.2571931746472</v>
      </c>
      <c r="F207">
        <f t="shared" si="14"/>
        <v>17887.138377523628</v>
      </c>
      <c r="G207">
        <f t="shared" si="15"/>
        <v>670243.83656509698</v>
      </c>
    </row>
    <row r="208" spans="1:7" x14ac:dyDescent="0.2">
      <c r="A208" s="14">
        <v>29618</v>
      </c>
      <c r="B208" s="15">
        <v>974</v>
      </c>
      <c r="C208">
        <v>184</v>
      </c>
      <c r="D208">
        <f t="shared" si="13"/>
        <v>974</v>
      </c>
      <c r="E208">
        <f t="shared" si="12"/>
        <v>1036.9515430174251</v>
      </c>
      <c r="F208">
        <f t="shared" si="14"/>
        <v>3962.8967682747275</v>
      </c>
      <c r="G208">
        <f t="shared" si="15"/>
        <v>1041796.2576177287</v>
      </c>
    </row>
    <row r="209" spans="1:7" x14ac:dyDescent="0.2">
      <c r="A209" s="14">
        <v>29646</v>
      </c>
      <c r="B209" s="15">
        <v>1293</v>
      </c>
      <c r="C209">
        <v>185</v>
      </c>
      <c r="D209">
        <f t="shared" si="13"/>
        <v>1293</v>
      </c>
      <c r="E209">
        <f t="shared" si="12"/>
        <v>1031.6996365067441</v>
      </c>
      <c r="F209">
        <f t="shared" si="14"/>
        <v>68277.879961707644</v>
      </c>
      <c r="G209">
        <f t="shared" si="15"/>
        <v>492360.73130193911</v>
      </c>
    </row>
    <row r="210" spans="1:7" x14ac:dyDescent="0.2">
      <c r="A210" s="14">
        <v>29677</v>
      </c>
      <c r="B210" s="15">
        <v>1095</v>
      </c>
      <c r="C210">
        <v>186</v>
      </c>
      <c r="D210">
        <f t="shared" si="13"/>
        <v>1095</v>
      </c>
      <c r="E210">
        <f t="shared" si="12"/>
        <v>1026.5006611622562</v>
      </c>
      <c r="F210">
        <f t="shared" si="14"/>
        <v>4692.1594212080408</v>
      </c>
      <c r="G210">
        <f t="shared" si="15"/>
        <v>809431.67867036024</v>
      </c>
    </row>
    <row r="211" spans="1:7" x14ac:dyDescent="0.2">
      <c r="A211" s="14">
        <v>29707</v>
      </c>
      <c r="B211" s="15">
        <v>1109</v>
      </c>
      <c r="C211">
        <v>187</v>
      </c>
      <c r="D211">
        <f t="shared" si="13"/>
        <v>1109</v>
      </c>
      <c r="E211">
        <f t="shared" si="12"/>
        <v>1021.3538207986113</v>
      </c>
      <c r="F211">
        <f t="shared" si="14"/>
        <v>7681.8527286019398</v>
      </c>
      <c r="G211">
        <f t="shared" si="15"/>
        <v>784436.52077562339</v>
      </c>
    </row>
    <row r="212" spans="1:7" x14ac:dyDescent="0.2">
      <c r="A212" s="14">
        <v>29738</v>
      </c>
      <c r="B212" s="15">
        <v>954</v>
      </c>
      <c r="C212">
        <v>188</v>
      </c>
      <c r="D212">
        <f t="shared" si="13"/>
        <v>954</v>
      </c>
      <c r="E212">
        <f t="shared" si="12"/>
        <v>1016.2583351189832</v>
      </c>
      <c r="F212">
        <f t="shared" si="14"/>
        <v>3876.1002917876112</v>
      </c>
      <c r="G212">
        <f t="shared" si="15"/>
        <v>1083023.6260387814</v>
      </c>
    </row>
    <row r="213" spans="1:7" x14ac:dyDescent="0.2">
      <c r="A213" s="14">
        <v>29768</v>
      </c>
      <c r="B213" s="15">
        <v>1196</v>
      </c>
      <c r="C213">
        <v>189</v>
      </c>
      <c r="D213">
        <f t="shared" si="13"/>
        <v>1196</v>
      </c>
      <c r="E213">
        <f t="shared" si="12"/>
        <v>1011.2134393207014</v>
      </c>
      <c r="F213">
        <f t="shared" si="14"/>
        <v>34146.073007684121</v>
      </c>
      <c r="G213">
        <f t="shared" si="15"/>
        <v>637896.4681440444</v>
      </c>
    </row>
    <row r="214" spans="1:7" x14ac:dyDescent="0.2">
      <c r="A214" s="14">
        <v>29799</v>
      </c>
      <c r="B214" s="15">
        <v>1153</v>
      </c>
      <c r="C214">
        <v>190</v>
      </c>
      <c r="D214">
        <f t="shared" si="13"/>
        <v>1153</v>
      </c>
      <c r="E214">
        <f t="shared" si="12"/>
        <v>1006.2183837125709</v>
      </c>
      <c r="F214">
        <f t="shared" si="14"/>
        <v>21544.842879950065</v>
      </c>
      <c r="G214">
        <f t="shared" si="15"/>
        <v>708432.31024930754</v>
      </c>
    </row>
    <row r="215" spans="1:7" x14ac:dyDescent="0.2">
      <c r="A215" s="14">
        <v>29830</v>
      </c>
      <c r="B215" s="15">
        <v>1091</v>
      </c>
      <c r="C215">
        <v>191</v>
      </c>
      <c r="D215">
        <f t="shared" si="13"/>
        <v>1091</v>
      </c>
      <c r="E215">
        <f t="shared" si="12"/>
        <v>1001.2724333434793</v>
      </c>
      <c r="F215">
        <f t="shared" si="14"/>
        <v>8051.0362181003666</v>
      </c>
      <c r="G215">
        <f t="shared" si="15"/>
        <v>816645.15235457069</v>
      </c>
    </row>
    <row r="216" spans="1:7" x14ac:dyDescent="0.2">
      <c r="A216" s="14">
        <v>29860</v>
      </c>
      <c r="B216" s="15">
        <v>1026</v>
      </c>
      <c r="C216">
        <v>192</v>
      </c>
      <c r="D216">
        <f t="shared" si="13"/>
        <v>1026</v>
      </c>
      <c r="E216">
        <f t="shared" si="12"/>
        <v>996.37486764190191</v>
      </c>
      <c r="F216">
        <f t="shared" si="14"/>
        <v>877.64846723483026</v>
      </c>
      <c r="G216">
        <f t="shared" si="15"/>
        <v>938349.09972299181</v>
      </c>
    </row>
    <row r="217" spans="1:7" x14ac:dyDescent="0.2">
      <c r="A217" s="14">
        <v>29891</v>
      </c>
      <c r="B217" s="15">
        <v>1168</v>
      </c>
      <c r="C217">
        <v>193</v>
      </c>
      <c r="D217">
        <f t="shared" si="13"/>
        <v>1168</v>
      </c>
      <c r="E217">
        <f t="shared" si="12"/>
        <v>991.52498006593748</v>
      </c>
      <c r="F217">
        <f t="shared" si="14"/>
        <v>31143.432660727762</v>
      </c>
      <c r="G217">
        <f t="shared" si="15"/>
        <v>683406.78393351811</v>
      </c>
    </row>
    <row r="218" spans="1:7" x14ac:dyDescent="0.2">
      <c r="A218" s="14">
        <v>29921</v>
      </c>
      <c r="B218" s="15">
        <v>988</v>
      </c>
      <c r="C218">
        <v>194</v>
      </c>
      <c r="D218">
        <f t="shared" si="13"/>
        <v>988</v>
      </c>
      <c r="E218">
        <f t="shared" si="12"/>
        <v>986.72207776351331</v>
      </c>
      <c r="F218">
        <f t="shared" si="14"/>
        <v>1.6330852425071392</v>
      </c>
      <c r="G218">
        <f t="shared" si="15"/>
        <v>1013413.0997229918</v>
      </c>
    </row>
    <row r="219" spans="1:7" x14ac:dyDescent="0.2">
      <c r="A219" s="14">
        <v>29952</v>
      </c>
      <c r="B219" s="15">
        <v>331</v>
      </c>
      <c r="C219">
        <v>195</v>
      </c>
      <c r="D219">
        <f t="shared" si="13"/>
        <v>331</v>
      </c>
      <c r="E219">
        <f t="shared" si="12"/>
        <v>981.96548124241838</v>
      </c>
      <c r="F219">
        <f t="shared" si="14"/>
        <v>423756.05776917335</v>
      </c>
      <c r="G219">
        <f t="shared" si="15"/>
        <v>2767845.1523545706</v>
      </c>
    </row>
    <row r="220" spans="1:7" x14ac:dyDescent="0.2">
      <c r="A220" s="14">
        <v>29983</v>
      </c>
      <c r="B220" s="15">
        <v>944</v>
      </c>
      <c r="C220">
        <v>196</v>
      </c>
      <c r="D220">
        <f t="shared" si="13"/>
        <v>944</v>
      </c>
      <c r="E220">
        <f t="shared" si="12"/>
        <v>977.25452404983605</v>
      </c>
      <c r="F220">
        <f t="shared" si="14"/>
        <v>1105.8633697811242</v>
      </c>
      <c r="G220">
        <f t="shared" si="15"/>
        <v>1103937.3102493077</v>
      </c>
    </row>
    <row r="221" spans="1:7" x14ac:dyDescent="0.2">
      <c r="A221" s="14">
        <v>30011</v>
      </c>
      <c r="B221" s="15">
        <v>1190</v>
      </c>
      <c r="C221">
        <v>197</v>
      </c>
      <c r="D221">
        <f t="shared" si="13"/>
        <v>1190</v>
      </c>
      <c r="E221">
        <f t="shared" si="12"/>
        <v>972.58855246105645</v>
      </c>
      <c r="F221">
        <f t="shared" si="14"/>
        <v>47267.737520978801</v>
      </c>
      <c r="G221">
        <f t="shared" si="15"/>
        <v>647516.67867036024</v>
      </c>
    </row>
    <row r="222" spans="1:7" x14ac:dyDescent="0.2">
      <c r="A222" s="14">
        <v>30042</v>
      </c>
      <c r="B222" s="15">
        <v>982</v>
      </c>
      <c r="C222">
        <v>198</v>
      </c>
      <c r="D222">
        <f t="shared" si="13"/>
        <v>982</v>
      </c>
      <c r="E222">
        <f t="shared" si="12"/>
        <v>967.96692517706299</v>
      </c>
      <c r="F222">
        <f t="shared" si="14"/>
        <v>196.92718898614859</v>
      </c>
      <c r="G222">
        <f t="shared" si="15"/>
        <v>1025529.3102493075</v>
      </c>
    </row>
    <row r="223" spans="1:7" x14ac:dyDescent="0.2">
      <c r="A223" s="14">
        <v>30072</v>
      </c>
      <c r="B223" s="15">
        <v>1371</v>
      </c>
      <c r="C223">
        <v>199</v>
      </c>
      <c r="D223">
        <f t="shared" si="13"/>
        <v>1371</v>
      </c>
      <c r="E223">
        <f t="shared" si="12"/>
        <v>963.38901303070293</v>
      </c>
      <c r="F223">
        <f t="shared" si="14"/>
        <v>166146.71669808446</v>
      </c>
      <c r="G223">
        <f t="shared" si="15"/>
        <v>388981.99445983383</v>
      </c>
    </row>
    <row r="224" spans="1:7" x14ac:dyDescent="0.2">
      <c r="A224" s="14">
        <v>30103</v>
      </c>
      <c r="B224" s="15">
        <v>1292</v>
      </c>
      <c r="C224">
        <v>200</v>
      </c>
      <c r="D224">
        <f t="shared" si="13"/>
        <v>1292</v>
      </c>
      <c r="E224">
        <f t="shared" si="12"/>
        <v>958.85419870115413</v>
      </c>
      <c r="F224">
        <f t="shared" si="14"/>
        <v>110986.1249230501</v>
      </c>
      <c r="G224">
        <f t="shared" si="15"/>
        <v>493765.09972299176</v>
      </c>
    </row>
    <row r="225" spans="1:7" x14ac:dyDescent="0.2">
      <c r="A225" s="14">
        <v>30133</v>
      </c>
      <c r="B225" s="15">
        <v>1317</v>
      </c>
      <c r="C225">
        <v>201</v>
      </c>
      <c r="D225">
        <f t="shared" si="13"/>
        <v>1317</v>
      </c>
      <c r="E225">
        <f t="shared" si="12"/>
        <v>954.36187643641904</v>
      </c>
      <c r="F225">
        <f t="shared" si="14"/>
        <v>131506.40866171502</v>
      </c>
      <c r="G225">
        <f t="shared" si="15"/>
        <v>459255.88919667597</v>
      </c>
    </row>
    <row r="226" spans="1:7" x14ac:dyDescent="0.2">
      <c r="A226" s="14">
        <v>30164</v>
      </c>
      <c r="B226" s="15">
        <v>1226</v>
      </c>
      <c r="C226">
        <v>202</v>
      </c>
      <c r="D226">
        <f t="shared" si="13"/>
        <v>1226</v>
      </c>
      <c r="E226">
        <f t="shared" si="12"/>
        <v>949.91145178358386</v>
      </c>
      <c r="F226">
        <f t="shared" si="14"/>
        <v>76224.886456248336</v>
      </c>
      <c r="G226">
        <f t="shared" si="15"/>
        <v>590875.41551246541</v>
      </c>
    </row>
    <row r="227" spans="1:7" x14ac:dyDescent="0.2">
      <c r="A227" s="14">
        <v>30195</v>
      </c>
      <c r="B227" s="15">
        <v>1246</v>
      </c>
      <c r="C227">
        <v>203</v>
      </c>
      <c r="D227">
        <f t="shared" si="13"/>
        <v>1246</v>
      </c>
      <c r="E227">
        <f t="shared" si="12"/>
        <v>945.50234132658863</v>
      </c>
      <c r="F227">
        <f t="shared" si="14"/>
        <v>90298.842868202046</v>
      </c>
      <c r="G227">
        <f t="shared" si="15"/>
        <v>560528.04709141282</v>
      </c>
    </row>
    <row r="228" spans="1:7" x14ac:dyDescent="0.2">
      <c r="A228" s="14">
        <v>30225</v>
      </c>
      <c r="B228" s="15">
        <v>1110</v>
      </c>
      <c r="C228">
        <v>204</v>
      </c>
      <c r="D228">
        <f t="shared" si="13"/>
        <v>1110</v>
      </c>
      <c r="E228">
        <f t="shared" si="12"/>
        <v>941.13397243126826</v>
      </c>
      <c r="F228">
        <f t="shared" si="14"/>
        <v>28515.735266843669</v>
      </c>
      <c r="G228">
        <f t="shared" si="15"/>
        <v>782666.15235457069</v>
      </c>
    </row>
    <row r="229" spans="1:7" x14ac:dyDescent="0.2">
      <c r="A229" s="14">
        <v>30256</v>
      </c>
      <c r="B229" s="15">
        <v>1176</v>
      </c>
      <c r="C229">
        <v>205</v>
      </c>
      <c r="D229">
        <f t="shared" si="13"/>
        <v>1176</v>
      </c>
      <c r="E229">
        <f t="shared" si="12"/>
        <v>936.8057829974266</v>
      </c>
      <c r="F229">
        <f t="shared" si="14"/>
        <v>57213.873447474172</v>
      </c>
      <c r="G229">
        <f t="shared" si="15"/>
        <v>670243.83656509698</v>
      </c>
    </row>
    <row r="230" spans="1:7" x14ac:dyDescent="0.2">
      <c r="A230" s="14">
        <v>30286</v>
      </c>
      <c r="B230" s="15">
        <v>1027</v>
      </c>
      <c r="C230">
        <v>206</v>
      </c>
      <c r="D230">
        <f t="shared" si="13"/>
        <v>1027</v>
      </c>
      <c r="E230">
        <f t="shared" si="12"/>
        <v>932.51722121772229</v>
      </c>
      <c r="F230">
        <f t="shared" si="14"/>
        <v>8926.9954864208266</v>
      </c>
      <c r="G230">
        <f t="shared" si="15"/>
        <v>936412.73130193911</v>
      </c>
    </row>
    <row r="231" spans="1:7" x14ac:dyDescent="0.2">
      <c r="A231" s="14">
        <v>30317</v>
      </c>
      <c r="B231" s="15">
        <v>1084</v>
      </c>
      <c r="C231">
        <v>207</v>
      </c>
      <c r="D231">
        <f t="shared" si="13"/>
        <v>1084</v>
      </c>
      <c r="E231">
        <f t="shared" si="12"/>
        <v>928.26774534314654</v>
      </c>
      <c r="F231">
        <f t="shared" si="14"/>
        <v>24252.535140507054</v>
      </c>
      <c r="G231">
        <f t="shared" si="15"/>
        <v>829345.73130193911</v>
      </c>
    </row>
    <row r="232" spans="1:7" x14ac:dyDescent="0.2">
      <c r="A232" s="14">
        <v>30348</v>
      </c>
      <c r="B232" s="15">
        <v>1090</v>
      </c>
      <c r="C232">
        <v>208</v>
      </c>
      <c r="D232">
        <f t="shared" si="13"/>
        <v>1090</v>
      </c>
      <c r="E232">
        <f t="shared" si="12"/>
        <v>924.05682345488242</v>
      </c>
      <c r="F232">
        <f t="shared" si="14"/>
        <v>27537.137841884061</v>
      </c>
      <c r="G232">
        <f t="shared" si="15"/>
        <v>818453.52077562339</v>
      </c>
    </row>
    <row r="233" spans="1:7" x14ac:dyDescent="0.2">
      <c r="A233" s="14">
        <v>30376</v>
      </c>
      <c r="B233" s="15">
        <v>1016</v>
      </c>
      <c r="C233">
        <v>209</v>
      </c>
      <c r="D233">
        <f t="shared" si="13"/>
        <v>1016</v>
      </c>
      <c r="E233">
        <f t="shared" si="12"/>
        <v>919.88393324234949</v>
      </c>
      <c r="F233">
        <f t="shared" si="14"/>
        <v>9238.2982889611303</v>
      </c>
      <c r="G233">
        <f t="shared" si="15"/>
        <v>957822.78393351811</v>
      </c>
    </row>
    <row r="234" spans="1:7" x14ac:dyDescent="0.2">
      <c r="A234" s="14">
        <v>30407</v>
      </c>
      <c r="B234" s="15">
        <v>889</v>
      </c>
      <c r="C234">
        <v>210</v>
      </c>
      <c r="D234">
        <f t="shared" si="13"/>
        <v>889</v>
      </c>
      <c r="E234">
        <f t="shared" si="12"/>
        <v>915.74856178723053</v>
      </c>
      <c r="F234">
        <f t="shared" si="14"/>
        <v>715.48555768528922</v>
      </c>
      <c r="G234">
        <f t="shared" si="15"/>
        <v>1222537.5734072023</v>
      </c>
    </row>
    <row r="235" spans="1:7" x14ac:dyDescent="0.2">
      <c r="A235" s="14">
        <v>30437</v>
      </c>
      <c r="B235" s="15">
        <v>852</v>
      </c>
      <c r="C235">
        <v>211</v>
      </c>
      <c r="D235">
        <f t="shared" si="13"/>
        <v>852</v>
      </c>
      <c r="E235">
        <f t="shared" si="12"/>
        <v>911.650205353302</v>
      </c>
      <c r="F235">
        <f t="shared" si="14"/>
        <v>3558.1469986910984</v>
      </c>
      <c r="G235">
        <f t="shared" si="15"/>
        <v>1305727.2049861497</v>
      </c>
    </row>
    <row r="236" spans="1:7" x14ac:dyDescent="0.2">
      <c r="A236" s="14">
        <v>30468</v>
      </c>
      <c r="B236" s="15">
        <v>882</v>
      </c>
      <c r="C236">
        <v>212</v>
      </c>
      <c r="D236">
        <f t="shared" si="13"/>
        <v>882</v>
      </c>
      <c r="E236">
        <f t="shared" ref="E236:E299" si="16">$E$5/(1+$D$5*C236)</f>
        <v>907.58836918187956</v>
      </c>
      <c r="F236">
        <f t="shared" si="14"/>
        <v>654.76463738816346</v>
      </c>
      <c r="G236">
        <f t="shared" si="15"/>
        <v>1238066.1523545708</v>
      </c>
    </row>
    <row r="237" spans="1:7" x14ac:dyDescent="0.2">
      <c r="A237" s="14">
        <v>30498</v>
      </c>
      <c r="B237" s="15">
        <v>990</v>
      </c>
      <c r="C237">
        <v>213</v>
      </c>
      <c r="D237">
        <f t="shared" si="13"/>
        <v>990</v>
      </c>
      <c r="E237">
        <f t="shared" si="16"/>
        <v>903.56256729271036</v>
      </c>
      <c r="F237">
        <f t="shared" si="14"/>
        <v>7471.4297730272256</v>
      </c>
      <c r="G237">
        <f t="shared" si="15"/>
        <v>1009390.3628808865</v>
      </c>
    </row>
    <row r="238" spans="1:7" x14ac:dyDescent="0.2">
      <c r="A238" s="14">
        <v>30529</v>
      </c>
      <c r="B238" s="15">
        <v>1009</v>
      </c>
      <c r="C238">
        <v>214</v>
      </c>
      <c r="D238">
        <f t="shared" si="13"/>
        <v>1009</v>
      </c>
      <c r="E238">
        <f t="shared" si="16"/>
        <v>899.57232229013914</v>
      </c>
      <c r="F238">
        <f t="shared" si="14"/>
        <v>11974.41664897318</v>
      </c>
      <c r="G238">
        <f t="shared" si="15"/>
        <v>971573.36288088653</v>
      </c>
    </row>
    <row r="239" spans="1:7" x14ac:dyDescent="0.2">
      <c r="A239" s="14">
        <v>30560</v>
      </c>
      <c r="B239" s="15">
        <v>1038</v>
      </c>
      <c r="C239">
        <v>215</v>
      </c>
      <c r="D239">
        <f t="shared" si="13"/>
        <v>1038</v>
      </c>
      <c r="E239">
        <f t="shared" si="16"/>
        <v>895.61716517438776</v>
      </c>
      <c r="F239">
        <f t="shared" si="14"/>
        <v>20272.871652977577</v>
      </c>
      <c r="G239">
        <f t="shared" si="15"/>
        <v>915244.67867036024</v>
      </c>
    </row>
    <row r="240" spans="1:7" x14ac:dyDescent="0.2">
      <c r="A240" s="14">
        <v>30590</v>
      </c>
      <c r="B240" s="15">
        <v>1064</v>
      </c>
      <c r="C240">
        <v>216</v>
      </c>
      <c r="D240">
        <f t="shared" si="13"/>
        <v>1064</v>
      </c>
      <c r="E240">
        <f t="shared" si="16"/>
        <v>891.69663515779371</v>
      </c>
      <c r="F240">
        <f t="shared" si="14"/>
        <v>29688.449535946453</v>
      </c>
      <c r="G240">
        <f t="shared" si="15"/>
        <v>866173.09972299181</v>
      </c>
    </row>
    <row r="241" spans="1:7" x14ac:dyDescent="0.2">
      <c r="A241" s="14">
        <v>30621</v>
      </c>
      <c r="B241" s="15">
        <v>1096</v>
      </c>
      <c r="C241">
        <v>217</v>
      </c>
      <c r="D241">
        <f t="shared" si="13"/>
        <v>1096</v>
      </c>
      <c r="E241">
        <f t="shared" si="16"/>
        <v>887.81027948585051</v>
      </c>
      <c r="F241">
        <f t="shared" si="14"/>
        <v>43342.959727759677</v>
      </c>
      <c r="G241">
        <f t="shared" si="15"/>
        <v>807633.31024930754</v>
      </c>
    </row>
    <row r="242" spans="1:7" x14ac:dyDescent="0.2">
      <c r="A242" s="14">
        <v>30651</v>
      </c>
      <c r="B242" s="15">
        <v>738</v>
      </c>
      <c r="C242">
        <v>218</v>
      </c>
      <c r="D242">
        <f t="shared" si="13"/>
        <v>738</v>
      </c>
      <c r="E242">
        <f t="shared" si="16"/>
        <v>883.95765326291098</v>
      </c>
      <c r="F242">
        <f t="shared" si="14"/>
        <v>21303.636546016147</v>
      </c>
      <c r="G242">
        <f t="shared" si="15"/>
        <v>1579255.2049861497</v>
      </c>
    </row>
    <row r="243" spans="1:7" x14ac:dyDescent="0.2">
      <c r="A243" s="14">
        <v>30682</v>
      </c>
      <c r="B243" s="15">
        <v>987</v>
      </c>
      <c r="C243">
        <v>219</v>
      </c>
      <c r="D243">
        <f t="shared" si="13"/>
        <v>987</v>
      </c>
      <c r="E243">
        <f t="shared" si="16"/>
        <v>880.13831928240677</v>
      </c>
      <c r="F243">
        <f t="shared" si="14"/>
        <v>11419.418805788837</v>
      </c>
      <c r="G243">
        <f t="shared" si="15"/>
        <v>1015427.4681440444</v>
      </c>
    </row>
    <row r="244" spans="1:7" x14ac:dyDescent="0.2">
      <c r="A244" s="14">
        <v>30713</v>
      </c>
      <c r="B244" s="15">
        <v>818</v>
      </c>
      <c r="C244">
        <v>220</v>
      </c>
      <c r="D244">
        <f t="shared" si="13"/>
        <v>818</v>
      </c>
      <c r="E244">
        <f t="shared" si="16"/>
        <v>876.35184786145112</v>
      </c>
      <c r="F244">
        <f t="shared" si="14"/>
        <v>3404.9381488459376</v>
      </c>
      <c r="G244">
        <f t="shared" si="15"/>
        <v>1384585.7313019391</v>
      </c>
    </row>
    <row r="245" spans="1:7" x14ac:dyDescent="0.2">
      <c r="A245" s="14">
        <v>30742</v>
      </c>
      <c r="B245" s="15">
        <v>993</v>
      </c>
      <c r="C245">
        <v>221</v>
      </c>
      <c r="D245">
        <f t="shared" si="13"/>
        <v>993</v>
      </c>
      <c r="E245">
        <f t="shared" si="16"/>
        <v>872.59781667969355</v>
      </c>
      <c r="F245">
        <f t="shared" si="14"/>
        <v>14496.685748296681</v>
      </c>
      <c r="G245">
        <f t="shared" si="15"/>
        <v>1003371.2576177287</v>
      </c>
    </row>
    <row r="246" spans="1:7" x14ac:dyDescent="0.2">
      <c r="A246" s="14">
        <v>30773</v>
      </c>
      <c r="B246" s="15">
        <v>993</v>
      </c>
      <c r="C246">
        <v>222</v>
      </c>
      <c r="D246">
        <f t="shared" si="13"/>
        <v>993</v>
      </c>
      <c r="E246">
        <f>$E$5/(1+$D$5*C246)</f>
        <v>868.87581062229685</v>
      </c>
      <c r="F246">
        <f t="shared" si="14"/>
        <v>15406.814388671915</v>
      </c>
      <c r="G246">
        <f t="shared" si="15"/>
        <v>1003371.2576177287</v>
      </c>
    </row>
    <row r="247" spans="1:7" x14ac:dyDescent="0.2">
      <c r="A247" s="14">
        <v>30803</v>
      </c>
      <c r="B247" s="15">
        <v>879</v>
      </c>
      <c r="C247">
        <v>223</v>
      </c>
      <c r="D247">
        <f t="shared" si="13"/>
        <v>879</v>
      </c>
      <c r="E247">
        <f t="shared" si="16"/>
        <v>865.18542162691767</v>
      </c>
      <c r="F247">
        <f t="shared" si="14"/>
        <v>190.84257562603395</v>
      </c>
      <c r="G247">
        <f t="shared" si="15"/>
        <v>1244751.2576177286</v>
      </c>
    </row>
    <row r="248" spans="1:7" x14ac:dyDescent="0.2">
      <c r="A248" s="14">
        <v>30834</v>
      </c>
      <c r="B248" s="15">
        <v>853</v>
      </c>
      <c r="C248">
        <v>224</v>
      </c>
      <c r="D248">
        <f t="shared" si="13"/>
        <v>853</v>
      </c>
      <c r="E248">
        <f t="shared" si="16"/>
        <v>861.52624853456848</v>
      </c>
      <c r="F248">
        <f t="shared" si="14"/>
        <v>72.69691407323117</v>
      </c>
      <c r="G248">
        <f t="shared" si="15"/>
        <v>1303442.8365650971</v>
      </c>
    </row>
    <row r="249" spans="1:7" x14ac:dyDescent="0.2">
      <c r="A249" s="14">
        <v>30864</v>
      </c>
      <c r="B249" s="15">
        <v>819</v>
      </c>
      <c r="C249">
        <v>225</v>
      </c>
      <c r="D249">
        <f t="shared" si="13"/>
        <v>819</v>
      </c>
      <c r="E249">
        <f t="shared" si="16"/>
        <v>857.89789694424883</v>
      </c>
      <c r="F249">
        <f t="shared" si="14"/>
        <v>1513.0463866854022</v>
      </c>
      <c r="G249">
        <f t="shared" si="15"/>
        <v>1382233.3628808865</v>
      </c>
    </row>
    <row r="250" spans="1:7" x14ac:dyDescent="0.2">
      <c r="A250" s="14">
        <v>30895</v>
      </c>
      <c r="B250" s="15">
        <v>776</v>
      </c>
      <c r="C250">
        <v>226</v>
      </c>
      <c r="D250">
        <f t="shared" si="13"/>
        <v>776</v>
      </c>
      <c r="E250">
        <f t="shared" si="16"/>
        <v>854.29997907123493</v>
      </c>
      <c r="F250">
        <f t="shared" si="14"/>
        <v>6130.8867225558279</v>
      </c>
      <c r="G250">
        <f t="shared" si="15"/>
        <v>1485191.2049861497</v>
      </c>
    </row>
    <row r="251" spans="1:7" x14ac:dyDescent="0.2">
      <c r="A251" s="14">
        <v>30926</v>
      </c>
      <c r="B251" s="15">
        <v>807</v>
      </c>
      <c r="C251">
        <v>227</v>
      </c>
      <c r="D251">
        <f t="shared" si="13"/>
        <v>807</v>
      </c>
      <c r="E251">
        <f t="shared" si="16"/>
        <v>850.73211360891935</v>
      </c>
      <c r="F251">
        <f t="shared" si="14"/>
        <v>1912.4977607034289</v>
      </c>
      <c r="G251">
        <f t="shared" si="15"/>
        <v>1410593.7839335182</v>
      </c>
    </row>
    <row r="252" spans="1:7" x14ac:dyDescent="0.2">
      <c r="A252" s="14">
        <v>30956</v>
      </c>
      <c r="B252" s="15">
        <v>806</v>
      </c>
      <c r="C252">
        <v>228</v>
      </c>
      <c r="D252">
        <f t="shared" si="13"/>
        <v>806</v>
      </c>
      <c r="E252">
        <f t="shared" si="16"/>
        <v>847.19392559409971</v>
      </c>
      <c r="F252">
        <f t="shared" si="14"/>
        <v>1696.9395058522232</v>
      </c>
      <c r="G252">
        <f t="shared" si="15"/>
        <v>1412970.1523545708</v>
      </c>
    </row>
    <row r="253" spans="1:7" x14ac:dyDescent="0.2">
      <c r="A253" s="14">
        <v>30987</v>
      </c>
      <c r="B253" s="15">
        <v>874</v>
      </c>
      <c r="C253">
        <v>229</v>
      </c>
      <c r="D253">
        <f t="shared" si="13"/>
        <v>874</v>
      </c>
      <c r="E253">
        <f t="shared" si="16"/>
        <v>843.68504627561265</v>
      </c>
      <c r="F253">
        <f t="shared" si="14"/>
        <v>918.99641931174654</v>
      </c>
      <c r="G253">
        <f t="shared" si="15"/>
        <v>1255933.0997229917</v>
      </c>
    </row>
    <row r="254" spans="1:7" x14ac:dyDescent="0.2">
      <c r="A254" s="14">
        <v>31017</v>
      </c>
      <c r="B254" s="15">
        <v>884</v>
      </c>
      <c r="C254">
        <v>230</v>
      </c>
      <c r="D254">
        <f t="shared" si="13"/>
        <v>884</v>
      </c>
      <c r="E254">
        <f t="shared" si="16"/>
        <v>840.20511298622205</v>
      </c>
      <c r="F254">
        <f t="shared" si="14"/>
        <v>1917.9921285495768</v>
      </c>
      <c r="G254">
        <f t="shared" si="15"/>
        <v>1233619.4155124654</v>
      </c>
    </row>
    <row r="255" spans="1:7" x14ac:dyDescent="0.2">
      <c r="A255" s="14">
        <v>31048</v>
      </c>
      <c r="B255" s="15">
        <v>962</v>
      </c>
      <c r="C255">
        <v>231</v>
      </c>
      <c r="D255">
        <f t="shared" si="13"/>
        <v>962</v>
      </c>
      <c r="E255">
        <f t="shared" si="16"/>
        <v>836.75376901766219</v>
      </c>
      <c r="F255">
        <f t="shared" si="14"/>
        <v>15686.618375281114</v>
      </c>
      <c r="G255">
        <f t="shared" si="15"/>
        <v>1066436.6786703602</v>
      </c>
    </row>
    <row r="256" spans="1:7" x14ac:dyDescent="0.2">
      <c r="A256" s="14">
        <v>31079</v>
      </c>
      <c r="B256" s="15">
        <v>609</v>
      </c>
      <c r="C256">
        <v>232</v>
      </c>
      <c r="D256">
        <f t="shared" si="13"/>
        <v>609</v>
      </c>
      <c r="E256">
        <f t="shared" si="16"/>
        <v>833.33066349874855</v>
      </c>
      <c r="F256">
        <f t="shared" si="14"/>
        <v>50324.246585788758</v>
      </c>
      <c r="G256">
        <f t="shared" si="15"/>
        <v>1920120.7313019391</v>
      </c>
    </row>
    <row r="257" spans="1:7" x14ac:dyDescent="0.2">
      <c r="A257" s="14">
        <v>31107</v>
      </c>
      <c r="B257" s="15">
        <v>918</v>
      </c>
      <c r="C257">
        <v>233</v>
      </c>
      <c r="D257">
        <f t="shared" si="13"/>
        <v>918</v>
      </c>
      <c r="E257">
        <f t="shared" si="16"/>
        <v>829.93545127647008</v>
      </c>
      <c r="F257">
        <f t="shared" si="14"/>
        <v>7755.364741878976</v>
      </c>
      <c r="G257">
        <f t="shared" si="15"/>
        <v>1159248.889196676</v>
      </c>
    </row>
    <row r="258" spans="1:7" x14ac:dyDescent="0.2">
      <c r="A258" s="14">
        <v>31138</v>
      </c>
      <c r="B258" s="15">
        <v>845</v>
      </c>
      <c r="C258">
        <v>234</v>
      </c>
      <c r="D258">
        <f t="shared" si="13"/>
        <v>845</v>
      </c>
      <c r="E258">
        <f t="shared" si="16"/>
        <v>826.56779279997306</v>
      </c>
      <c r="F258">
        <f t="shared" si="14"/>
        <v>339.74626226472486</v>
      </c>
      <c r="G258">
        <f t="shared" si="15"/>
        <v>1321773.7839335182</v>
      </c>
    </row>
    <row r="259" spans="1:7" x14ac:dyDescent="0.2">
      <c r="A259" s="14">
        <v>31168</v>
      </c>
      <c r="B259" s="15">
        <v>839</v>
      </c>
      <c r="C259">
        <v>235</v>
      </c>
      <c r="D259">
        <f t="shared" si="13"/>
        <v>839</v>
      </c>
      <c r="E259">
        <f t="shared" si="16"/>
        <v>823.22735400736212</v>
      </c>
      <c r="F259">
        <f t="shared" si="14"/>
        <v>248.77636160907568</v>
      </c>
      <c r="G259">
        <f t="shared" si="15"/>
        <v>1335605.9944598339</v>
      </c>
    </row>
    <row r="260" spans="1:7" x14ac:dyDescent="0.2">
      <c r="A260" s="14">
        <v>31199</v>
      </c>
      <c r="B260" s="15">
        <v>839</v>
      </c>
      <c r="C260">
        <v>236</v>
      </c>
      <c r="D260">
        <f t="shared" si="13"/>
        <v>839</v>
      </c>
      <c r="E260">
        <f t="shared" si="16"/>
        <v>819.9138062152316</v>
      </c>
      <c r="F260">
        <f t="shared" si="14"/>
        <v>364.28279318973182</v>
      </c>
      <c r="G260">
        <f t="shared" si="15"/>
        <v>1335605.9944598339</v>
      </c>
    </row>
    <row r="261" spans="1:7" x14ac:dyDescent="0.2">
      <c r="A261" s="14">
        <v>31229</v>
      </c>
      <c r="B261" s="15">
        <v>935</v>
      </c>
      <c r="C261">
        <v>237</v>
      </c>
      <c r="D261">
        <f t="shared" si="13"/>
        <v>935</v>
      </c>
      <c r="E261">
        <f t="shared" si="16"/>
        <v>816.62682601085567</v>
      </c>
      <c r="F261">
        <f t="shared" si="14"/>
        <v>14012.208320264237</v>
      </c>
      <c r="G261">
        <f t="shared" si="15"/>
        <v>1122930.6260387814</v>
      </c>
    </row>
    <row r="262" spans="1:7" x14ac:dyDescent="0.2">
      <c r="A262" s="14">
        <v>31260</v>
      </c>
      <c r="B262" s="15">
        <v>858</v>
      </c>
      <c r="C262">
        <v>238</v>
      </c>
      <c r="D262">
        <f t="shared" si="13"/>
        <v>858</v>
      </c>
      <c r="E262">
        <f t="shared" si="16"/>
        <v>813.36609514696204</v>
      </c>
      <c r="F262">
        <f t="shared" si="14"/>
        <v>1992.1854624300456</v>
      </c>
      <c r="G262">
        <f t="shared" si="15"/>
        <v>1292050.9944598339</v>
      </c>
    </row>
    <row r="263" spans="1:7" x14ac:dyDescent="0.2">
      <c r="A263" s="14">
        <v>31291</v>
      </c>
      <c r="B263" s="15">
        <v>784</v>
      </c>
      <c r="C263">
        <v>239</v>
      </c>
      <c r="D263">
        <f t="shared" si="13"/>
        <v>784</v>
      </c>
      <c r="E263">
        <f t="shared" si="16"/>
        <v>810.13130043901458</v>
      </c>
      <c r="F263">
        <f t="shared" si="14"/>
        <v>682.84486263404358</v>
      </c>
      <c r="G263">
        <f t="shared" si="15"/>
        <v>1465756.2576177286</v>
      </c>
    </row>
    <row r="264" spans="1:7" x14ac:dyDescent="0.2">
      <c r="A264" s="14">
        <v>31321</v>
      </c>
      <c r="B264" s="15">
        <v>840</v>
      </c>
      <c r="C264">
        <v>240</v>
      </c>
      <c r="D264">
        <f t="shared" si="13"/>
        <v>840</v>
      </c>
      <c r="E264">
        <f t="shared" si="16"/>
        <v>806.92213366493922</v>
      </c>
      <c r="F264">
        <f t="shared" si="14"/>
        <v>1094.145241280147</v>
      </c>
      <c r="G264">
        <f t="shared" si="15"/>
        <v>1333295.6260387814</v>
      </c>
    </row>
    <row r="265" spans="1:7" x14ac:dyDescent="0.2">
      <c r="A265" s="14">
        <v>31352</v>
      </c>
      <c r="B265" s="15">
        <v>756</v>
      </c>
      <c r="C265">
        <v>241</v>
      </c>
      <c r="D265">
        <f t="shared" si="13"/>
        <v>756</v>
      </c>
      <c r="E265">
        <f t="shared" si="16"/>
        <v>803.73829146722278</v>
      </c>
      <c r="F265">
        <f t="shared" si="14"/>
        <v>2278.9444722095154</v>
      </c>
      <c r="G265">
        <f t="shared" si="15"/>
        <v>1534338.5734072023</v>
      </c>
    </row>
    <row r="266" spans="1:7" x14ac:dyDescent="0.2">
      <c r="A266" s="14">
        <v>31382</v>
      </c>
      <c r="B266" s="15">
        <v>802</v>
      </c>
      <c r="C266">
        <v>242</v>
      </c>
      <c r="D266">
        <f t="shared" si="13"/>
        <v>802</v>
      </c>
      <c r="E266">
        <f t="shared" si="16"/>
        <v>800.57947525732015</v>
      </c>
      <c r="F266">
        <f t="shared" si="14"/>
        <v>2.0178905445656401</v>
      </c>
      <c r="G266">
        <f t="shared" si="15"/>
        <v>1422495.6260387814</v>
      </c>
    </row>
    <row r="267" spans="1:7" x14ac:dyDescent="0.2">
      <c r="A267" s="14">
        <v>31413</v>
      </c>
      <c r="B267" s="15">
        <v>866</v>
      </c>
      <c r="C267">
        <v>243</v>
      </c>
      <c r="D267">
        <f t="shared" si="13"/>
        <v>866</v>
      </c>
      <c r="E267">
        <f t="shared" si="16"/>
        <v>797.44539112230802</v>
      </c>
      <c r="F267">
        <f t="shared" si="14"/>
        <v>4699.7343983733235</v>
      </c>
      <c r="G267">
        <f t="shared" si="15"/>
        <v>1273928.0470914128</v>
      </c>
    </row>
    <row r="268" spans="1:7" x14ac:dyDescent="0.2">
      <c r="A268" s="14">
        <v>31444</v>
      </c>
      <c r="B268" s="15">
        <v>690</v>
      </c>
      <c r="C268">
        <v>244</v>
      </c>
      <c r="D268">
        <f t="shared" si="13"/>
        <v>690</v>
      </c>
      <c r="E268">
        <f t="shared" si="16"/>
        <v>794.33574973372095</v>
      </c>
      <c r="F268">
        <f t="shared" si="14"/>
        <v>10885.94867249765</v>
      </c>
      <c r="G268">
        <f t="shared" si="15"/>
        <v>1702200.889196676</v>
      </c>
    </row>
    <row r="269" spans="1:7" x14ac:dyDescent="0.2">
      <c r="A269" s="14">
        <v>31472</v>
      </c>
      <c r="B269" s="15">
        <v>856</v>
      </c>
      <c r="C269">
        <v>245</v>
      </c>
      <c r="D269">
        <f t="shared" ref="D269:D331" si="17">B269</f>
        <v>856</v>
      </c>
      <c r="E269">
        <f t="shared" si="16"/>
        <v>791.25026625851365</v>
      </c>
      <c r="F269">
        <f t="shared" ref="F269:F332" si="18">(D269-E269)^2</f>
        <v>4192.5280195933765</v>
      </c>
      <c r="G269">
        <f t="shared" ref="G269:G332" si="19">(D269-$G$5)^2</f>
        <v>1296601.7313019391</v>
      </c>
    </row>
    <row r="270" spans="1:7" x14ac:dyDescent="0.2">
      <c r="A270" s="14">
        <v>31503</v>
      </c>
      <c r="B270" s="15">
        <v>898</v>
      </c>
      <c r="C270">
        <v>246</v>
      </c>
      <c r="D270">
        <f t="shared" si="17"/>
        <v>898</v>
      </c>
      <c r="E270">
        <f t="shared" si="16"/>
        <v>788.18866027208992</v>
      </c>
      <c r="F270">
        <f t="shared" si="18"/>
        <v>12058.530332838483</v>
      </c>
      <c r="G270">
        <f t="shared" si="19"/>
        <v>1202716.2576177286</v>
      </c>
    </row>
    <row r="271" spans="1:7" x14ac:dyDescent="0.2">
      <c r="A271" s="14">
        <v>31533</v>
      </c>
      <c r="B271" s="15">
        <v>840</v>
      </c>
      <c r="C271">
        <v>247</v>
      </c>
      <c r="D271">
        <f t="shared" si="17"/>
        <v>840</v>
      </c>
      <c r="E271">
        <f t="shared" si="16"/>
        <v>785.1506556733417</v>
      </c>
      <c r="F271">
        <f t="shared" si="18"/>
        <v>3008.4505730643227</v>
      </c>
      <c r="G271">
        <f t="shared" si="19"/>
        <v>1333295.6260387814</v>
      </c>
    </row>
    <row r="272" spans="1:7" x14ac:dyDescent="0.2">
      <c r="A272" s="14">
        <v>31564</v>
      </c>
      <c r="B272" s="15">
        <v>718</v>
      </c>
      <c r="C272">
        <v>248</v>
      </c>
      <c r="D272">
        <f t="shared" si="17"/>
        <v>718</v>
      </c>
      <c r="E272">
        <f t="shared" si="16"/>
        <v>782.13598060164759</v>
      </c>
      <c r="F272">
        <f t="shared" si="18"/>
        <v>4113.4240077349159</v>
      </c>
      <c r="G272">
        <f t="shared" si="19"/>
        <v>1629922.5734072023</v>
      </c>
    </row>
    <row r="273" spans="1:7" x14ac:dyDescent="0.2">
      <c r="A273" s="14">
        <v>31594</v>
      </c>
      <c r="B273" s="15">
        <v>728</v>
      </c>
      <c r="C273">
        <v>249</v>
      </c>
      <c r="D273">
        <f t="shared" si="17"/>
        <v>728</v>
      </c>
      <c r="E273">
        <f t="shared" si="16"/>
        <v>779.14436735577453</v>
      </c>
      <c r="F273">
        <f t="shared" si="18"/>
        <v>2615.7463122224158</v>
      </c>
      <c r="G273">
        <f t="shared" si="19"/>
        <v>1604488.889196676</v>
      </c>
    </row>
    <row r="274" spans="1:7" x14ac:dyDescent="0.2">
      <c r="A274" s="14">
        <v>31625</v>
      </c>
      <c r="B274" s="15">
        <v>627</v>
      </c>
      <c r="C274">
        <v>250</v>
      </c>
      <c r="D274">
        <f t="shared" si="17"/>
        <v>627</v>
      </c>
      <c r="E274">
        <f t="shared" si="16"/>
        <v>776.17555231463405</v>
      </c>
      <c r="F274">
        <f t="shared" si="18"/>
        <v>22253.345408376121</v>
      </c>
      <c r="G274">
        <f t="shared" si="19"/>
        <v>1870560.0997229919</v>
      </c>
    </row>
    <row r="275" spans="1:7" x14ac:dyDescent="0.2">
      <c r="A275" s="14">
        <v>31656</v>
      </c>
      <c r="B275" s="15">
        <v>748</v>
      </c>
      <c r="C275">
        <v>251</v>
      </c>
      <c r="D275">
        <f t="shared" si="17"/>
        <v>748</v>
      </c>
      <c r="E275">
        <f t="shared" si="16"/>
        <v>773.2292758598436</v>
      </c>
      <c r="F275">
        <f t="shared" si="18"/>
        <v>636.5163604120869</v>
      </c>
      <c r="G275">
        <f t="shared" si="19"/>
        <v>1554221.5207756234</v>
      </c>
    </row>
    <row r="276" spans="1:7" x14ac:dyDescent="0.2">
      <c r="A276" s="14">
        <v>31686</v>
      </c>
      <c r="B276" s="15">
        <v>849</v>
      </c>
      <c r="C276">
        <v>252</v>
      </c>
      <c r="D276">
        <f t="shared" si="17"/>
        <v>849</v>
      </c>
      <c r="E276">
        <f t="shared" si="16"/>
        <v>770.30528230004472</v>
      </c>
      <c r="F276">
        <f t="shared" si="18"/>
        <v>6192.8585938756542</v>
      </c>
      <c r="G276">
        <f t="shared" si="19"/>
        <v>1312592.3102493077</v>
      </c>
    </row>
    <row r="277" spans="1:7" x14ac:dyDescent="0.2">
      <c r="A277" s="14">
        <v>31717</v>
      </c>
      <c r="B277" s="15">
        <v>567</v>
      </c>
      <c r="C277">
        <v>253</v>
      </c>
      <c r="D277">
        <f t="shared" si="17"/>
        <v>567</v>
      </c>
      <c r="E277">
        <f t="shared" si="16"/>
        <v>767.4033197969319</v>
      </c>
      <c r="F277">
        <f t="shared" si="18"/>
        <v>40161.490585631356</v>
      </c>
      <c r="G277">
        <f t="shared" si="19"/>
        <v>2038282.2049861497</v>
      </c>
    </row>
    <row r="278" spans="1:7" x14ac:dyDescent="0.2">
      <c r="A278" s="14">
        <v>31747</v>
      </c>
      <c r="B278" s="15">
        <v>713</v>
      </c>
      <c r="C278">
        <v>254</v>
      </c>
      <c r="D278">
        <f t="shared" si="17"/>
        <v>713</v>
      </c>
      <c r="E278">
        <f t="shared" si="16"/>
        <v>764.52314029294644</v>
      </c>
      <c r="F278">
        <f t="shared" si="18"/>
        <v>2654.6339856466407</v>
      </c>
      <c r="G278">
        <f t="shared" si="19"/>
        <v>1642714.4155124654</v>
      </c>
    </row>
    <row r="279" spans="1:7" x14ac:dyDescent="0.2">
      <c r="A279" s="14">
        <v>31778</v>
      </c>
      <c r="B279" s="15">
        <v>665</v>
      </c>
      <c r="C279">
        <v>255</v>
      </c>
      <c r="D279">
        <f t="shared" si="17"/>
        <v>665</v>
      </c>
      <c r="E279">
        <f t="shared" si="16"/>
        <v>761.66449944059434</v>
      </c>
      <c r="F279">
        <f t="shared" si="18"/>
        <v>9344.0254521006627</v>
      </c>
      <c r="G279">
        <f t="shared" si="19"/>
        <v>1768060.0997229919</v>
      </c>
    </row>
    <row r="280" spans="1:7" x14ac:dyDescent="0.2">
      <c r="A280" s="14">
        <v>31809</v>
      </c>
      <c r="B280" s="15">
        <v>744</v>
      </c>
      <c r="C280">
        <v>256</v>
      </c>
      <c r="D280">
        <f t="shared" si="17"/>
        <v>744</v>
      </c>
      <c r="E280">
        <f t="shared" si="16"/>
        <v>758.82715653334208</v>
      </c>
      <c r="F280">
        <f t="shared" si="18"/>
        <v>219.84457086422864</v>
      </c>
      <c r="G280">
        <f t="shared" si="19"/>
        <v>1564210.9944598339</v>
      </c>
    </row>
    <row r="281" spans="1:7" x14ac:dyDescent="0.2">
      <c r="A281" s="14">
        <v>31837</v>
      </c>
      <c r="B281" s="15">
        <v>880</v>
      </c>
      <c r="C281">
        <v>257</v>
      </c>
      <c r="D281">
        <f t="shared" si="17"/>
        <v>880</v>
      </c>
      <c r="E281">
        <f t="shared" si="16"/>
        <v>756.01087443805227</v>
      </c>
      <c r="F281">
        <f t="shared" si="18"/>
        <v>15373.303257616441</v>
      </c>
      <c r="G281">
        <f t="shared" si="19"/>
        <v>1242520.889196676</v>
      </c>
    </row>
    <row r="282" spans="1:7" x14ac:dyDescent="0.2">
      <c r="A282" s="14">
        <v>31868</v>
      </c>
      <c r="B282" s="15">
        <v>774</v>
      </c>
      <c r="C282">
        <v>258</v>
      </c>
      <c r="D282">
        <f t="shared" si="17"/>
        <v>774</v>
      </c>
      <c r="E282">
        <f t="shared" si="16"/>
        <v>753.21541952891823</v>
      </c>
      <c r="F282">
        <f t="shared" si="18"/>
        <v>431.99878535887359</v>
      </c>
      <c r="G282">
        <f t="shared" si="19"/>
        <v>1490069.9418282551</v>
      </c>
    </row>
    <row r="283" spans="1:7" x14ac:dyDescent="0.2">
      <c r="A283" s="14">
        <v>31898</v>
      </c>
      <c r="B283" s="15">
        <v>860</v>
      </c>
      <c r="C283">
        <v>259</v>
      </c>
      <c r="D283">
        <f t="shared" si="17"/>
        <v>860</v>
      </c>
      <c r="E283">
        <f t="shared" si="16"/>
        <v>750.4405616228579</v>
      </c>
      <c r="F283">
        <f t="shared" si="18"/>
        <v>12003.270537514798</v>
      </c>
      <c r="G283">
        <f t="shared" si="19"/>
        <v>1287508.2576177286</v>
      </c>
    </row>
    <row r="284" spans="1:7" x14ac:dyDescent="0.2">
      <c r="A284" s="14">
        <v>31929</v>
      </c>
      <c r="B284" s="15">
        <v>811</v>
      </c>
      <c r="C284">
        <v>260</v>
      </c>
      <c r="D284">
        <f t="shared" si="17"/>
        <v>811</v>
      </c>
      <c r="E284">
        <f t="shared" si="16"/>
        <v>747.68607391633236</v>
      </c>
      <c r="F284">
        <f t="shared" si="18"/>
        <v>4008.6532361281293</v>
      </c>
      <c r="G284">
        <f t="shared" si="19"/>
        <v>1401108.3102493077</v>
      </c>
    </row>
    <row r="285" spans="1:7" x14ac:dyDescent="0.2">
      <c r="A285" s="14">
        <v>31959</v>
      </c>
      <c r="B285" s="15">
        <v>803</v>
      </c>
      <c r="C285">
        <v>261</v>
      </c>
      <c r="D285">
        <f t="shared" si="17"/>
        <v>803</v>
      </c>
      <c r="E285">
        <f t="shared" si="16"/>
        <v>744.95173292354878</v>
      </c>
      <c r="F285">
        <f t="shared" si="18"/>
        <v>3369.6013105790112</v>
      </c>
      <c r="G285">
        <f t="shared" si="19"/>
        <v>1420111.2576177286</v>
      </c>
    </row>
    <row r="286" spans="1:7" x14ac:dyDescent="0.2">
      <c r="A286" s="14">
        <v>31990</v>
      </c>
      <c r="B286" s="15">
        <v>726</v>
      </c>
      <c r="C286">
        <v>262</v>
      </c>
      <c r="D286">
        <f t="shared" si="17"/>
        <v>726</v>
      </c>
      <c r="E286">
        <f t="shared" si="16"/>
        <v>742.23731841601602</v>
      </c>
      <c r="F286">
        <f t="shared" si="18"/>
        <v>263.65050934309312</v>
      </c>
      <c r="G286">
        <f t="shared" si="19"/>
        <v>1609559.6260387814</v>
      </c>
    </row>
    <row r="287" spans="1:7" x14ac:dyDescent="0.2">
      <c r="A287" s="14">
        <v>32021</v>
      </c>
      <c r="B287" s="15">
        <v>726</v>
      </c>
      <c r="C287">
        <v>263</v>
      </c>
      <c r="D287">
        <f t="shared" si="17"/>
        <v>726</v>
      </c>
      <c r="E287">
        <f t="shared" si="16"/>
        <v>739.54261336341608</v>
      </c>
      <c r="F287">
        <f t="shared" si="18"/>
        <v>183.4023767109758</v>
      </c>
      <c r="G287">
        <f t="shared" si="19"/>
        <v>1609559.6260387814</v>
      </c>
    </row>
    <row r="288" spans="1:7" x14ac:dyDescent="0.2">
      <c r="A288" s="14">
        <v>32051</v>
      </c>
      <c r="B288" s="15">
        <v>610</v>
      </c>
      <c r="C288">
        <v>264</v>
      </c>
      <c r="D288">
        <f t="shared" si="17"/>
        <v>610</v>
      </c>
      <c r="E288">
        <f t="shared" si="16"/>
        <v>736.8674038757581</v>
      </c>
      <c r="F288">
        <f t="shared" si="18"/>
        <v>16095.338166174721</v>
      </c>
      <c r="G288">
        <f t="shared" si="19"/>
        <v>1917350.3628808865</v>
      </c>
    </row>
    <row r="289" spans="1:7" x14ac:dyDescent="0.2">
      <c r="A289" s="14">
        <v>32082</v>
      </c>
      <c r="B289" s="15">
        <v>752</v>
      </c>
      <c r="C289">
        <v>265</v>
      </c>
      <c r="D289">
        <f t="shared" si="17"/>
        <v>752</v>
      </c>
      <c r="E289">
        <f t="shared" si="16"/>
        <v>734.21147914678568</v>
      </c>
      <c r="F289">
        <f t="shared" si="18"/>
        <v>316.43147414524083</v>
      </c>
      <c r="G289">
        <f t="shared" si="19"/>
        <v>1544264.0470914128</v>
      </c>
    </row>
    <row r="290" spans="1:7" x14ac:dyDescent="0.2">
      <c r="A290" s="14">
        <v>32112</v>
      </c>
      <c r="B290" s="15">
        <v>760</v>
      </c>
      <c r="C290">
        <v>266</v>
      </c>
      <c r="D290">
        <f t="shared" si="17"/>
        <v>760</v>
      </c>
      <c r="E290">
        <f t="shared" si="16"/>
        <v>731.5746313986009</v>
      </c>
      <c r="F290">
        <f t="shared" si="18"/>
        <v>808.00158012540578</v>
      </c>
      <c r="G290">
        <f t="shared" si="19"/>
        <v>1524445.0997229917</v>
      </c>
    </row>
    <row r="291" spans="1:7" x14ac:dyDescent="0.2">
      <c r="A291" s="14">
        <v>32143</v>
      </c>
      <c r="B291" s="15">
        <v>695</v>
      </c>
      <c r="C291">
        <v>267</v>
      </c>
      <c r="D291">
        <f t="shared" si="17"/>
        <v>695</v>
      </c>
      <c r="E291">
        <f t="shared" si="16"/>
        <v>728.95665582747995</v>
      </c>
      <c r="F291">
        <f t="shared" si="18"/>
        <v>1153.054474985928</v>
      </c>
      <c r="G291">
        <f t="shared" si="19"/>
        <v>1689179.0470914128</v>
      </c>
    </row>
    <row r="292" spans="1:7" x14ac:dyDescent="0.2">
      <c r="A292" s="14">
        <v>32174</v>
      </c>
      <c r="B292" s="15">
        <v>619</v>
      </c>
      <c r="C292">
        <v>268</v>
      </c>
      <c r="D292">
        <f t="shared" si="17"/>
        <v>619</v>
      </c>
      <c r="E292">
        <f t="shared" si="16"/>
        <v>726.35735055084547</v>
      </c>
      <c r="F292">
        <f t="shared" si="18"/>
        <v>11525.60071729712</v>
      </c>
      <c r="G292">
        <f t="shared" si="19"/>
        <v>1892507.0470914128</v>
      </c>
    </row>
    <row r="293" spans="1:7" x14ac:dyDescent="0.2">
      <c r="A293" s="14">
        <v>32203</v>
      </c>
      <c r="B293" s="15">
        <v>799</v>
      </c>
      <c r="C293">
        <v>269</v>
      </c>
      <c r="D293">
        <f t="shared" si="17"/>
        <v>799</v>
      </c>
      <c r="E293">
        <f t="shared" si="16"/>
        <v>723.77651655537159</v>
      </c>
      <c r="F293">
        <f t="shared" si="18"/>
        <v>5658.572461544285</v>
      </c>
      <c r="G293">
        <f t="shared" si="19"/>
        <v>1429660.7313019391</v>
      </c>
    </row>
    <row r="294" spans="1:7" x14ac:dyDescent="0.2">
      <c r="A294" s="14">
        <v>32234</v>
      </c>
      <c r="B294" s="15">
        <v>829</v>
      </c>
      <c r="C294">
        <v>270</v>
      </c>
      <c r="D294">
        <f t="shared" si="17"/>
        <v>829</v>
      </c>
      <c r="E294">
        <f t="shared" si="16"/>
        <v>721.21395764619012</v>
      </c>
      <c r="F294">
        <f t="shared" si="18"/>
        <v>11617.830926297296</v>
      </c>
      <c r="G294">
        <f t="shared" si="19"/>
        <v>1358819.6786703602</v>
      </c>
    </row>
    <row r="295" spans="1:7" x14ac:dyDescent="0.2">
      <c r="A295" s="14">
        <v>32264</v>
      </c>
      <c r="B295" s="15">
        <v>783</v>
      </c>
      <c r="C295">
        <v>271</v>
      </c>
      <c r="D295">
        <f t="shared" si="17"/>
        <v>783</v>
      </c>
      <c r="E295">
        <f t="shared" si="16"/>
        <v>718.66948039717215</v>
      </c>
      <c r="F295">
        <f t="shared" si="18"/>
        <v>4138.4157523698177</v>
      </c>
      <c r="G295">
        <f t="shared" si="19"/>
        <v>1468178.6260387814</v>
      </c>
    </row>
    <row r="296" spans="1:7" x14ac:dyDescent="0.2">
      <c r="A296" s="14">
        <v>32295</v>
      </c>
      <c r="B296" s="15">
        <v>710</v>
      </c>
      <c r="C296">
        <v>272</v>
      </c>
      <c r="D296">
        <f t="shared" si="17"/>
        <v>710</v>
      </c>
      <c r="E296">
        <f t="shared" si="16"/>
        <v>716.14289410225888</v>
      </c>
      <c r="F296">
        <f t="shared" si="18"/>
        <v>37.735147951566915</v>
      </c>
      <c r="G296">
        <f t="shared" si="19"/>
        <v>1650413.5207756234</v>
      </c>
    </row>
    <row r="297" spans="1:7" x14ac:dyDescent="0.2">
      <c r="A297" s="14">
        <v>32325</v>
      </c>
      <c r="B297" s="15">
        <v>758</v>
      </c>
      <c r="C297">
        <v>273</v>
      </c>
      <c r="D297">
        <f t="shared" si="17"/>
        <v>758</v>
      </c>
      <c r="E297">
        <f t="shared" si="16"/>
        <v>713.6340107278146</v>
      </c>
      <c r="F297">
        <f t="shared" si="18"/>
        <v>1968.3410040996703</v>
      </c>
      <c r="G297">
        <f t="shared" si="19"/>
        <v>1529387.8365650971</v>
      </c>
    </row>
    <row r="298" spans="1:7" x14ac:dyDescent="0.2">
      <c r="A298" s="14">
        <v>32356</v>
      </c>
      <c r="B298" s="15">
        <v>695</v>
      </c>
      <c r="C298">
        <v>274</v>
      </c>
      <c r="D298">
        <f t="shared" si="17"/>
        <v>695</v>
      </c>
      <c r="E298">
        <f t="shared" si="16"/>
        <v>711.14264486597892</v>
      </c>
      <c r="F298">
        <f t="shared" si="18"/>
        <v>260.5849832691157</v>
      </c>
      <c r="G298">
        <f t="shared" si="19"/>
        <v>1689179.0470914128</v>
      </c>
    </row>
    <row r="299" spans="1:7" x14ac:dyDescent="0.2">
      <c r="A299" s="14">
        <v>32387</v>
      </c>
      <c r="B299" s="15">
        <v>949</v>
      </c>
      <c r="C299">
        <v>275</v>
      </c>
      <c r="D299">
        <f t="shared" si="17"/>
        <v>949</v>
      </c>
      <c r="E299">
        <f t="shared" si="16"/>
        <v>708.66861368899163</v>
      </c>
      <c r="F299">
        <f t="shared" si="18"/>
        <v>57759.175246171144</v>
      </c>
      <c r="G299">
        <f t="shared" si="19"/>
        <v>1093455.4681440445</v>
      </c>
    </row>
    <row r="300" spans="1:7" x14ac:dyDescent="0.2">
      <c r="A300" s="14">
        <v>32417</v>
      </c>
      <c r="B300" s="15">
        <v>656</v>
      </c>
      <c r="C300">
        <v>276</v>
      </c>
      <c r="D300">
        <f t="shared" si="17"/>
        <v>656</v>
      </c>
      <c r="E300">
        <f t="shared" ref="E300:E363" si="20">$E$5/(1+$D$5*C300)</f>
        <v>706.21173690446778</v>
      </c>
      <c r="F300">
        <f t="shared" si="18"/>
        <v>2521.218522963492</v>
      </c>
      <c r="G300">
        <f t="shared" si="19"/>
        <v>1792075.4155124654</v>
      </c>
    </row>
    <row r="301" spans="1:7" x14ac:dyDescent="0.2">
      <c r="A301" s="14">
        <v>32448</v>
      </c>
      <c r="B301" s="15">
        <v>607</v>
      </c>
      <c r="C301">
        <v>277</v>
      </c>
      <c r="D301">
        <f t="shared" si="17"/>
        <v>607</v>
      </c>
      <c r="E301">
        <f t="shared" si="20"/>
        <v>703.77183671160117</v>
      </c>
      <c r="F301">
        <f t="shared" si="18"/>
        <v>9364.7883805368001</v>
      </c>
      <c r="G301">
        <f t="shared" si="19"/>
        <v>1925667.4681440445</v>
      </c>
    </row>
    <row r="302" spans="1:7" x14ac:dyDescent="0.2">
      <c r="A302" s="14">
        <v>32478</v>
      </c>
      <c r="B302" s="15">
        <v>770</v>
      </c>
      <c r="C302">
        <v>278</v>
      </c>
      <c r="D302">
        <f t="shared" si="17"/>
        <v>770</v>
      </c>
      <c r="E302">
        <f t="shared" si="20"/>
        <v>701.34873775827009</v>
      </c>
      <c r="F302">
        <f t="shared" si="18"/>
        <v>4712.9958073827711</v>
      </c>
      <c r="G302">
        <f t="shared" si="19"/>
        <v>1499851.4155124654</v>
      </c>
    </row>
    <row r="303" spans="1:7" x14ac:dyDescent="0.2">
      <c r="A303" s="14">
        <v>32509</v>
      </c>
      <c r="B303" s="15">
        <v>579</v>
      </c>
      <c r="C303">
        <v>279</v>
      </c>
      <c r="D303">
        <f t="shared" si="17"/>
        <v>579</v>
      </c>
      <c r="E303">
        <f t="shared" si="20"/>
        <v>698.94226709902932</v>
      </c>
      <c r="F303">
        <f t="shared" si="18"/>
        <v>14386.147436854892</v>
      </c>
      <c r="G303">
        <f t="shared" si="19"/>
        <v>2004161.7839335182</v>
      </c>
    </row>
    <row r="304" spans="1:7" x14ac:dyDescent="0.2">
      <c r="A304" s="14">
        <v>32540</v>
      </c>
      <c r="B304" s="15">
        <v>429</v>
      </c>
      <c r="C304">
        <v>280</v>
      </c>
      <c r="D304">
        <f t="shared" si="17"/>
        <v>429</v>
      </c>
      <c r="E304">
        <f t="shared" si="20"/>
        <v>696.55225415396126</v>
      </c>
      <c r="F304">
        <f t="shared" si="18"/>
        <v>71584.208702865886</v>
      </c>
      <c r="G304">
        <f t="shared" si="19"/>
        <v>2451367.0470914128</v>
      </c>
    </row>
    <row r="305" spans="1:7" x14ac:dyDescent="0.2">
      <c r="A305" s="14">
        <v>32568</v>
      </c>
      <c r="B305" s="15">
        <v>916</v>
      </c>
      <c r="C305">
        <v>281</v>
      </c>
      <c r="D305">
        <f t="shared" si="17"/>
        <v>916</v>
      </c>
      <c r="E305">
        <f t="shared" si="20"/>
        <v>694.17853066836926</v>
      </c>
      <c r="F305">
        <f t="shared" si="18"/>
        <v>49204.764256443596</v>
      </c>
      <c r="G305">
        <f t="shared" si="19"/>
        <v>1163559.6260387814</v>
      </c>
    </row>
    <row r="306" spans="1:7" x14ac:dyDescent="0.2">
      <c r="A306" s="14">
        <v>32599</v>
      </c>
      <c r="B306" s="15">
        <v>550</v>
      </c>
      <c r="C306">
        <v>282</v>
      </c>
      <c r="D306">
        <f t="shared" si="17"/>
        <v>550</v>
      </c>
      <c r="E306">
        <f t="shared" si="20"/>
        <v>691.82093067329379</v>
      </c>
      <c r="F306">
        <f t="shared" si="18"/>
        <v>20113.176377039203</v>
      </c>
      <c r="G306">
        <f t="shared" si="19"/>
        <v>2087112.4681440445</v>
      </c>
    </row>
    <row r="307" spans="1:7" x14ac:dyDescent="0.2">
      <c r="A307" s="14">
        <v>32629</v>
      </c>
      <c r="B307" s="15">
        <v>583</v>
      </c>
      <c r="C307">
        <v>283</v>
      </c>
      <c r="D307">
        <f t="shared" si="17"/>
        <v>583</v>
      </c>
      <c r="E307">
        <f t="shared" si="20"/>
        <v>689.47929044682769</v>
      </c>
      <c r="F307">
        <f t="shared" si="18"/>
        <v>11337.839294059891</v>
      </c>
      <c r="G307">
        <f t="shared" si="19"/>
        <v>1992852.3102493077</v>
      </c>
    </row>
    <row r="308" spans="1:7" x14ac:dyDescent="0.2">
      <c r="A308" s="14">
        <v>32660</v>
      </c>
      <c r="B308" s="15">
        <v>676</v>
      </c>
      <c r="C308">
        <v>284</v>
      </c>
      <c r="D308">
        <f t="shared" si="17"/>
        <v>676</v>
      </c>
      <c r="E308">
        <f t="shared" si="20"/>
        <v>687.15344847621714</v>
      </c>
      <c r="F308">
        <f t="shared" si="18"/>
        <v>124.39941291163035</v>
      </c>
      <c r="G308">
        <f t="shared" si="19"/>
        <v>1738928.0470914128</v>
      </c>
    </row>
    <row r="309" spans="1:7" x14ac:dyDescent="0.2">
      <c r="A309" s="14">
        <v>32690</v>
      </c>
      <c r="B309" s="15">
        <v>743</v>
      </c>
      <c r="C309">
        <v>285</v>
      </c>
      <c r="D309">
        <f t="shared" si="17"/>
        <v>743</v>
      </c>
      <c r="E309">
        <f t="shared" si="20"/>
        <v>684.84324542072534</v>
      </c>
      <c r="F309">
        <f t="shared" si="18"/>
        <v>3382.2081031939842</v>
      </c>
      <c r="G309">
        <f t="shared" si="19"/>
        <v>1566713.3628808865</v>
      </c>
    </row>
    <row r="310" spans="1:7" x14ac:dyDescent="0.2">
      <c r="A310" s="14">
        <v>32721</v>
      </c>
      <c r="B310" s="15">
        <v>1002</v>
      </c>
      <c r="C310">
        <v>286</v>
      </c>
      <c r="D310">
        <f t="shared" si="17"/>
        <v>1002</v>
      </c>
      <c r="E310">
        <f t="shared" si="20"/>
        <v>682.54852407524311</v>
      </c>
      <c r="F310">
        <f t="shared" si="18"/>
        <v>102049.24547050553</v>
      </c>
      <c r="G310">
        <f t="shared" si="19"/>
        <v>985421.94182825496</v>
      </c>
    </row>
    <row r="311" spans="1:7" x14ac:dyDescent="0.2">
      <c r="A311" s="14">
        <v>32752</v>
      </c>
      <c r="B311" s="15">
        <v>654</v>
      </c>
      <c r="C311">
        <v>287</v>
      </c>
      <c r="D311">
        <f t="shared" si="17"/>
        <v>654</v>
      </c>
      <c r="E311">
        <f t="shared" si="20"/>
        <v>680.2691293346295</v>
      </c>
      <c r="F311">
        <f t="shared" si="18"/>
        <v>690.067155999492</v>
      </c>
      <c r="G311">
        <f t="shared" si="19"/>
        <v>1797434.1523545708</v>
      </c>
    </row>
    <row r="312" spans="1:7" x14ac:dyDescent="0.2">
      <c r="A312" s="14">
        <v>32782</v>
      </c>
      <c r="B312" s="15">
        <v>650</v>
      </c>
      <c r="C312">
        <v>288</v>
      </c>
      <c r="D312">
        <f t="shared" si="17"/>
        <v>650</v>
      </c>
      <c r="E312">
        <f t="shared" si="20"/>
        <v>678.00490815876344</v>
      </c>
      <c r="F312">
        <f t="shared" si="18"/>
        <v>784.27488098077515</v>
      </c>
      <c r="G312">
        <f t="shared" si="19"/>
        <v>1808175.6260387814</v>
      </c>
    </row>
    <row r="313" spans="1:7" x14ac:dyDescent="0.2">
      <c r="A313" s="14">
        <v>32813</v>
      </c>
      <c r="B313" s="15">
        <v>642</v>
      </c>
      <c r="C313">
        <v>289</v>
      </c>
      <c r="D313">
        <f t="shared" si="17"/>
        <v>642</v>
      </c>
      <c r="E313">
        <f t="shared" si="20"/>
        <v>675.75570953829163</v>
      </c>
      <c r="F313">
        <f t="shared" si="18"/>
        <v>1139.4479264335123</v>
      </c>
      <c r="G313">
        <f t="shared" si="19"/>
        <v>1829754.5734072023</v>
      </c>
    </row>
    <row r="314" spans="1:7" x14ac:dyDescent="0.2">
      <c r="A314" s="14">
        <v>32843</v>
      </c>
      <c r="B314" s="15">
        <v>534</v>
      </c>
      <c r="C314">
        <v>290</v>
      </c>
      <c r="D314">
        <f t="shared" si="17"/>
        <v>534</v>
      </c>
      <c r="E314">
        <f t="shared" si="20"/>
        <v>673.52138446105573</v>
      </c>
      <c r="F314">
        <f t="shared" si="18"/>
        <v>19466.216721929723</v>
      </c>
      <c r="G314">
        <f t="shared" si="19"/>
        <v>2133598.3628808865</v>
      </c>
    </row>
    <row r="315" spans="1:7" x14ac:dyDescent="0.2">
      <c r="A315" s="14">
        <v>32874</v>
      </c>
      <c r="B315" s="15">
        <v>620</v>
      </c>
      <c r="C315">
        <v>291</v>
      </c>
      <c r="D315">
        <f t="shared" si="17"/>
        <v>620</v>
      </c>
      <c r="E315">
        <f t="shared" si="20"/>
        <v>671.30178587918385</v>
      </c>
      <c r="F315">
        <f t="shared" si="18"/>
        <v>2631.8732343936276</v>
      </c>
      <c r="G315">
        <f t="shared" si="19"/>
        <v>1889756.6786703602</v>
      </c>
    </row>
    <row r="316" spans="1:7" x14ac:dyDescent="0.2">
      <c r="A316" s="14">
        <v>32905</v>
      </c>
      <c r="B316" s="15">
        <v>423</v>
      </c>
      <c r="C316">
        <v>292</v>
      </c>
      <c r="D316">
        <f t="shared" si="17"/>
        <v>423</v>
      </c>
      <c r="E316">
        <f t="shared" si="20"/>
        <v>669.09676867682947</v>
      </c>
      <c r="F316">
        <f t="shared" si="18"/>
        <v>60563.619553176912</v>
      </c>
      <c r="G316">
        <f t="shared" si="19"/>
        <v>2470191.2576177288</v>
      </c>
    </row>
    <row r="317" spans="1:7" x14ac:dyDescent="0.2">
      <c r="A317" s="14">
        <v>32933</v>
      </c>
      <c r="B317" s="15">
        <v>543</v>
      </c>
      <c r="C317">
        <v>293</v>
      </c>
      <c r="D317">
        <f t="shared" si="17"/>
        <v>543</v>
      </c>
      <c r="E317">
        <f t="shared" si="20"/>
        <v>666.90618963854536</v>
      </c>
      <c r="F317">
        <f t="shared" si="18"/>
        <v>15352.743830743164</v>
      </c>
      <c r="G317">
        <f t="shared" si="19"/>
        <v>2107387.0470914128</v>
      </c>
    </row>
    <row r="318" spans="1:7" x14ac:dyDescent="0.2">
      <c r="A318" s="14">
        <v>32964</v>
      </c>
      <c r="B318" s="15">
        <v>638</v>
      </c>
      <c r="C318">
        <v>294</v>
      </c>
      <c r="D318">
        <f t="shared" si="17"/>
        <v>638</v>
      </c>
      <c r="E318">
        <f t="shared" si="20"/>
        <v>664.72990741827618</v>
      </c>
      <c r="F318">
        <f t="shared" si="18"/>
        <v>714.48795058961616</v>
      </c>
      <c r="G318">
        <f t="shared" si="19"/>
        <v>1840592.0470914128</v>
      </c>
    </row>
    <row r="319" spans="1:7" x14ac:dyDescent="0.2">
      <c r="A319" s="14">
        <v>32994</v>
      </c>
      <c r="B319" s="15">
        <v>651</v>
      </c>
      <c r="C319">
        <v>295</v>
      </c>
      <c r="D319">
        <f t="shared" si="17"/>
        <v>651</v>
      </c>
      <c r="E319">
        <f t="shared" si="20"/>
        <v>662.5677825089557</v>
      </c>
      <c r="F319">
        <f t="shared" si="18"/>
        <v>133.81359217450148</v>
      </c>
      <c r="G319">
        <f t="shared" si="19"/>
        <v>1805487.2576177286</v>
      </c>
    </row>
    <row r="320" spans="1:7" x14ac:dyDescent="0.2">
      <c r="A320" s="14">
        <v>33025</v>
      </c>
      <c r="B320" s="15">
        <v>820</v>
      </c>
      <c r="C320">
        <v>296</v>
      </c>
      <c r="D320">
        <f t="shared" si="17"/>
        <v>820</v>
      </c>
      <c r="E320">
        <f t="shared" si="20"/>
        <v>660.41967721269668</v>
      </c>
      <c r="F320">
        <f t="shared" si="18"/>
        <v>25465.879420899917</v>
      </c>
      <c r="G320">
        <f t="shared" si="19"/>
        <v>1379882.9944598339</v>
      </c>
    </row>
    <row r="321" spans="1:7" x14ac:dyDescent="0.2">
      <c r="A321" s="14">
        <v>33055</v>
      </c>
      <c r="B321" s="15">
        <v>581</v>
      </c>
      <c r="C321">
        <v>297</v>
      </c>
      <c r="D321">
        <f t="shared" si="17"/>
        <v>581</v>
      </c>
      <c r="E321">
        <f t="shared" si="20"/>
        <v>658.28545561155761</v>
      </c>
      <c r="F321">
        <f t="shared" si="18"/>
        <v>5973.0416490860416</v>
      </c>
      <c r="G321">
        <f t="shared" si="19"/>
        <v>1998503.0470914128</v>
      </c>
    </row>
    <row r="322" spans="1:7" x14ac:dyDescent="0.2">
      <c r="A322" s="14">
        <v>33086</v>
      </c>
      <c r="B322" s="15">
        <v>599</v>
      </c>
      <c r="C322">
        <v>298</v>
      </c>
      <c r="D322">
        <f t="shared" si="17"/>
        <v>599</v>
      </c>
      <c r="E322">
        <f t="shared" si="20"/>
        <v>656.16498353887482</v>
      </c>
      <c r="F322">
        <f t="shared" si="18"/>
        <v>3267.8353429998292</v>
      </c>
      <c r="G322">
        <f t="shared" si="19"/>
        <v>1947934.4155124654</v>
      </c>
    </row>
    <row r="323" spans="1:7" x14ac:dyDescent="0.2">
      <c r="A323" s="14">
        <v>33117</v>
      </c>
      <c r="B323" s="15">
        <v>693</v>
      </c>
      <c r="C323">
        <v>299</v>
      </c>
      <c r="D323">
        <f t="shared" si="17"/>
        <v>693</v>
      </c>
      <c r="E323">
        <f t="shared" si="20"/>
        <v>654.05812855114698</v>
      </c>
      <c r="F323">
        <f t="shared" si="18"/>
        <v>1516.4693519389941</v>
      </c>
      <c r="G323">
        <f t="shared" si="19"/>
        <v>1694381.7839335182</v>
      </c>
    </row>
    <row r="324" spans="1:7" x14ac:dyDescent="0.2">
      <c r="A324" s="14">
        <v>33147</v>
      </c>
      <c r="B324" s="15">
        <v>701</v>
      </c>
      <c r="C324">
        <v>300</v>
      </c>
      <c r="D324">
        <f t="shared" si="17"/>
        <v>701</v>
      </c>
      <c r="E324">
        <f t="shared" si="20"/>
        <v>651.96475990045963</v>
      </c>
      <c r="F324">
        <f t="shared" si="18"/>
        <v>2404.4547716195721</v>
      </c>
      <c r="G324">
        <f t="shared" si="19"/>
        <v>1673618.8365650971</v>
      </c>
    </row>
    <row r="325" spans="1:7" x14ac:dyDescent="0.2">
      <c r="A325" s="14">
        <v>33178</v>
      </c>
      <c r="B325" s="15">
        <v>751</v>
      </c>
      <c r="C325">
        <v>301</v>
      </c>
      <c r="D325">
        <f t="shared" si="17"/>
        <v>751</v>
      </c>
      <c r="E325">
        <f t="shared" si="20"/>
        <v>649.88474850743717</v>
      </c>
      <c r="F325">
        <f t="shared" si="18"/>
        <v>10224.29408440423</v>
      </c>
      <c r="G325">
        <f t="shared" si="19"/>
        <v>1546750.4155124654</v>
      </c>
    </row>
    <row r="326" spans="1:7" x14ac:dyDescent="0.2">
      <c r="A326" s="14">
        <v>33208</v>
      </c>
      <c r="B326" s="15">
        <v>564</v>
      </c>
      <c r="C326">
        <v>302</v>
      </c>
      <c r="D326">
        <f t="shared" si="17"/>
        <v>564</v>
      </c>
      <c r="E326">
        <f t="shared" si="20"/>
        <v>647.81796693471154</v>
      </c>
      <c r="F326">
        <f t="shared" si="18"/>
        <v>7025.4515810683961</v>
      </c>
      <c r="G326">
        <f t="shared" si="19"/>
        <v>2046857.3102493077</v>
      </c>
    </row>
    <row r="327" spans="1:7" x14ac:dyDescent="0.2">
      <c r="A327" s="14">
        <v>33239</v>
      </c>
      <c r="B327" s="15">
        <v>468</v>
      </c>
      <c r="C327">
        <v>303</v>
      </c>
      <c r="D327">
        <f t="shared" si="17"/>
        <v>468</v>
      </c>
      <c r="E327">
        <f t="shared" si="20"/>
        <v>645.76428936089451</v>
      </c>
      <c r="F327">
        <f t="shared" si="18"/>
        <v>31600.142571983833</v>
      </c>
      <c r="G327">
        <f t="shared" si="19"/>
        <v>2330764.6786703602</v>
      </c>
    </row>
    <row r="328" spans="1:7" x14ac:dyDescent="0.2">
      <c r="A328" s="14">
        <v>33270</v>
      </c>
      <c r="B328" s="15">
        <v>553</v>
      </c>
      <c r="C328">
        <v>304</v>
      </c>
      <c r="D328">
        <f t="shared" si="17"/>
        <v>553</v>
      </c>
      <c r="E328">
        <f t="shared" si="20"/>
        <v>643.72359155504512</v>
      </c>
      <c r="F328">
        <f t="shared" si="18"/>
        <v>8230.7700646466546</v>
      </c>
      <c r="G328">
        <f t="shared" si="19"/>
        <v>2078453.3628808865</v>
      </c>
    </row>
    <row r="329" spans="1:7" x14ac:dyDescent="0.2">
      <c r="A329" s="14">
        <v>33298</v>
      </c>
      <c r="B329" s="15">
        <v>478</v>
      </c>
      <c r="C329">
        <v>305</v>
      </c>
      <c r="D329">
        <f t="shared" si="17"/>
        <v>478</v>
      </c>
      <c r="E329">
        <f t="shared" si="20"/>
        <v>641.69575085161773</v>
      </c>
      <c r="F329">
        <f t="shared" si="18"/>
        <v>26796.298846874906</v>
      </c>
      <c r="G329">
        <f t="shared" si="19"/>
        <v>2300330.9944598339</v>
      </c>
    </row>
    <row r="330" spans="1:7" x14ac:dyDescent="0.2">
      <c r="A330" s="14">
        <v>33329</v>
      </c>
      <c r="B330" s="15">
        <v>507</v>
      </c>
      <c r="C330">
        <v>306</v>
      </c>
      <c r="D330">
        <f t="shared" si="17"/>
        <v>507</v>
      </c>
      <c r="E330">
        <f t="shared" si="20"/>
        <v>639.68064612588432</v>
      </c>
      <c r="F330">
        <f t="shared" si="18"/>
        <v>17604.153856382141</v>
      </c>
      <c r="G330">
        <f t="shared" si="19"/>
        <v>2213204.3102493077</v>
      </c>
    </row>
    <row r="331" spans="1:7" x14ac:dyDescent="0.2">
      <c r="A331" s="14">
        <v>33359</v>
      </c>
      <c r="B331" s="15">
        <v>700</v>
      </c>
      <c r="C331">
        <v>307</v>
      </c>
      <c r="D331">
        <f t="shared" si="17"/>
        <v>700</v>
      </c>
      <c r="E331">
        <f t="shared" si="20"/>
        <v>637.6781577698157</v>
      </c>
      <c r="F331">
        <f t="shared" si="18"/>
        <v>3884.0120189639833</v>
      </c>
      <c r="G331">
        <f t="shared" si="19"/>
        <v>1676207.2049861497</v>
      </c>
    </row>
    <row r="332" spans="1:7" x14ac:dyDescent="0.2">
      <c r="A332" s="14">
        <v>33390</v>
      </c>
      <c r="B332" s="15">
        <v>621</v>
      </c>
      <c r="C332">
        <v>308</v>
      </c>
      <c r="D332">
        <f>B332</f>
        <v>621</v>
      </c>
      <c r="E332">
        <f t="shared" si="20"/>
        <v>635.68816766841746</v>
      </c>
      <c r="F332">
        <f t="shared" si="18"/>
        <v>215.74226945554412</v>
      </c>
      <c r="G332">
        <f t="shared" si="19"/>
        <v>1887008.3102493077</v>
      </c>
    </row>
    <row r="333" spans="1:7" x14ac:dyDescent="0.2">
      <c r="A333" s="14">
        <v>33420</v>
      </c>
      <c r="B333" s="15">
        <v>693</v>
      </c>
      <c r="C333">
        <v>309</v>
      </c>
      <c r="D333">
        <f t="shared" ref="D333:D396" si="21">B333</f>
        <v>693</v>
      </c>
      <c r="E333">
        <f t="shared" si="20"/>
        <v>633.71055917650483</v>
      </c>
      <c r="F333">
        <f t="shared" ref="F333:F396" si="22">(D333-E333)^2</f>
        <v>3515.2377931627357</v>
      </c>
      <c r="G333">
        <f t="shared" ref="G333:G396" si="23">(D333-$G$5)^2</f>
        <v>1694381.7839335182</v>
      </c>
    </row>
    <row r="334" spans="1:7" x14ac:dyDescent="0.2">
      <c r="A334" s="14">
        <v>33451</v>
      </c>
      <c r="B334" s="15">
        <v>652</v>
      </c>
      <c r="C334">
        <v>310</v>
      </c>
      <c r="D334">
        <f t="shared" si="21"/>
        <v>652</v>
      </c>
      <c r="E334">
        <f t="shared" si="20"/>
        <v>631.74521709591147</v>
      </c>
      <c r="F334">
        <f t="shared" si="22"/>
        <v>410.25623049175692</v>
      </c>
      <c r="G334">
        <f t="shared" si="23"/>
        <v>1802800.889196676</v>
      </c>
    </row>
    <row r="335" spans="1:7" x14ac:dyDescent="0.2">
      <c r="A335" s="14">
        <v>33482</v>
      </c>
      <c r="B335" s="15">
        <v>611</v>
      </c>
      <c r="C335">
        <v>311</v>
      </c>
      <c r="D335">
        <f t="shared" si="21"/>
        <v>611</v>
      </c>
      <c r="E335">
        <f t="shared" si="20"/>
        <v>629.79202765312016</v>
      </c>
      <c r="F335">
        <f t="shared" si="22"/>
        <v>353.14030331563271</v>
      </c>
      <c r="G335">
        <f t="shared" si="23"/>
        <v>1914581.9944598339</v>
      </c>
    </row>
    <row r="336" spans="1:7" x14ac:dyDescent="0.2">
      <c r="A336" s="14">
        <v>33512</v>
      </c>
      <c r="B336" s="15">
        <v>661</v>
      </c>
      <c r="C336">
        <v>312</v>
      </c>
      <c r="D336">
        <f t="shared" si="21"/>
        <v>661</v>
      </c>
      <c r="E336">
        <f t="shared" si="20"/>
        <v>627.85087847730779</v>
      </c>
      <c r="F336">
        <f t="shared" si="22"/>
        <v>1098.864257726216</v>
      </c>
      <c r="G336">
        <f t="shared" si="23"/>
        <v>1778713.5734072023</v>
      </c>
    </row>
    <row r="337" spans="1:7" x14ac:dyDescent="0.2">
      <c r="A337" s="14">
        <v>33543</v>
      </c>
      <c r="B337" s="15">
        <v>593</v>
      </c>
      <c r="C337">
        <v>313</v>
      </c>
      <c r="D337">
        <f t="shared" si="21"/>
        <v>593</v>
      </c>
      <c r="E337">
        <f t="shared" si="20"/>
        <v>625.92165857879468</v>
      </c>
      <c r="F337">
        <f t="shared" si="22"/>
        <v>1083.8356035787251</v>
      </c>
      <c r="G337">
        <f t="shared" si="23"/>
        <v>1964718.6260387814</v>
      </c>
    </row>
    <row r="338" spans="1:7" x14ac:dyDescent="0.2">
      <c r="A338" s="14">
        <v>33573</v>
      </c>
      <c r="B338" s="15">
        <v>649</v>
      </c>
      <c r="C338">
        <v>314</v>
      </c>
      <c r="D338">
        <f t="shared" si="21"/>
        <v>649</v>
      </c>
      <c r="E338">
        <f t="shared" si="20"/>
        <v>624.00425832789006</v>
      </c>
      <c r="F338">
        <f t="shared" si="22"/>
        <v>624.78710173885361</v>
      </c>
      <c r="G338">
        <f t="shared" si="23"/>
        <v>1810865.9944598339</v>
      </c>
    </row>
    <row r="339" spans="1:7" x14ac:dyDescent="0.2">
      <c r="A339" s="14">
        <v>33604</v>
      </c>
      <c r="B339" s="15">
        <v>697</v>
      </c>
      <c r="C339">
        <v>315</v>
      </c>
      <c r="D339">
        <f t="shared" si="21"/>
        <v>697</v>
      </c>
      <c r="E339">
        <f t="shared" si="20"/>
        <v>622.09856943412524</v>
      </c>
      <c r="F339">
        <f t="shared" si="22"/>
        <v>5610.2243008145579</v>
      </c>
      <c r="G339">
        <f t="shared" si="23"/>
        <v>1683984.3102493077</v>
      </c>
    </row>
    <row r="340" spans="1:7" x14ac:dyDescent="0.2">
      <c r="A340" s="14">
        <v>33635</v>
      </c>
      <c r="B340" s="15">
        <v>670</v>
      </c>
      <c r="C340">
        <v>316</v>
      </c>
      <c r="D340">
        <f t="shared" si="21"/>
        <v>670</v>
      </c>
      <c r="E340">
        <f t="shared" si="20"/>
        <v>620.20448492586661</v>
      </c>
      <c r="F340">
        <f t="shared" si="22"/>
        <v>2479.5933214982456</v>
      </c>
      <c r="G340">
        <f t="shared" si="23"/>
        <v>1754788.2576177286</v>
      </c>
    </row>
    <row r="341" spans="1:7" x14ac:dyDescent="0.2">
      <c r="A341" s="14">
        <v>33664</v>
      </c>
      <c r="B341" s="15">
        <v>650</v>
      </c>
      <c r="C341">
        <v>317</v>
      </c>
      <c r="D341">
        <f t="shared" si="21"/>
        <v>650</v>
      </c>
      <c r="E341">
        <f t="shared" si="20"/>
        <v>618.32189913029879</v>
      </c>
      <c r="F341">
        <f t="shared" si="22"/>
        <v>1003.5020747109646</v>
      </c>
      <c r="G341">
        <f t="shared" si="23"/>
        <v>1808175.6260387814</v>
      </c>
    </row>
    <row r="342" spans="1:7" x14ac:dyDescent="0.2">
      <c r="A342" s="14">
        <v>33695</v>
      </c>
      <c r="B342" s="15">
        <v>597</v>
      </c>
      <c r="C342">
        <v>318</v>
      </c>
      <c r="D342">
        <f t="shared" si="21"/>
        <v>597</v>
      </c>
      <c r="E342">
        <f t="shared" si="20"/>
        <v>616.45070765377227</v>
      </c>
      <c r="F342">
        <f t="shared" si="22"/>
        <v>378.33002823251513</v>
      </c>
      <c r="G342">
        <f t="shared" si="23"/>
        <v>1953521.1523545708</v>
      </c>
    </row>
    <row r="343" spans="1:7" x14ac:dyDescent="0.2">
      <c r="A343" s="14">
        <v>33725</v>
      </c>
      <c r="B343" s="15">
        <v>554</v>
      </c>
      <c r="C343">
        <v>319</v>
      </c>
      <c r="D343">
        <f t="shared" si="21"/>
        <v>554</v>
      </c>
      <c r="E343">
        <f t="shared" si="20"/>
        <v>614.59080736250689</v>
      </c>
      <c r="F343">
        <f t="shared" si="22"/>
        <v>3671.2459368404197</v>
      </c>
      <c r="G343">
        <f t="shared" si="23"/>
        <v>2075570.9944598339</v>
      </c>
    </row>
    <row r="344" spans="1:7" x14ac:dyDescent="0.2">
      <c r="A344" s="14">
        <v>33756</v>
      </c>
      <c r="B344" s="15">
        <v>522</v>
      </c>
      <c r="C344">
        <v>320</v>
      </c>
      <c r="D344">
        <f t="shared" si="21"/>
        <v>522</v>
      </c>
      <c r="E344">
        <f t="shared" si="20"/>
        <v>612.74209636364242</v>
      </c>
      <c r="F344">
        <f t="shared" si="22"/>
        <v>8234.1280524685662</v>
      </c>
      <c r="G344">
        <f t="shared" si="23"/>
        <v>2168798.783933518</v>
      </c>
    </row>
    <row r="345" spans="1:7" x14ac:dyDescent="0.2">
      <c r="A345" s="14">
        <v>33786</v>
      </c>
      <c r="B345" s="15">
        <v>612</v>
      </c>
      <c r="C345">
        <v>321</v>
      </c>
      <c r="D345">
        <f t="shared" si="21"/>
        <v>612</v>
      </c>
      <c r="E345">
        <f t="shared" si="20"/>
        <v>610.90447398663139</v>
      </c>
      <c r="F345">
        <f t="shared" si="22"/>
        <v>1.2001772459673252</v>
      </c>
      <c r="G345">
        <f t="shared" si="23"/>
        <v>1911815.6260387814</v>
      </c>
    </row>
    <row r="346" spans="1:7" x14ac:dyDescent="0.2">
      <c r="A346" s="14">
        <v>33817</v>
      </c>
      <c r="B346" s="15">
        <v>684</v>
      </c>
      <c r="C346">
        <v>322</v>
      </c>
      <c r="D346">
        <f t="shared" si="21"/>
        <v>684</v>
      </c>
      <c r="E346">
        <f t="shared" si="20"/>
        <v>609.07784076496512</v>
      </c>
      <c r="F346">
        <f t="shared" si="22"/>
        <v>5613.3299444399227</v>
      </c>
      <c r="G346">
        <f t="shared" si="23"/>
        <v>1717893.0997229919</v>
      </c>
    </row>
    <row r="347" spans="1:7" x14ac:dyDescent="0.2">
      <c r="A347" s="14">
        <v>33848</v>
      </c>
      <c r="B347" s="16">
        <v>597</v>
      </c>
      <c r="C347" s="19">
        <v>323</v>
      </c>
      <c r="D347">
        <f t="shared" si="21"/>
        <v>597</v>
      </c>
      <c r="E347">
        <f t="shared" si="20"/>
        <v>607.26209841822663</v>
      </c>
      <c r="F347">
        <f t="shared" si="22"/>
        <v>105.31066394536947</v>
      </c>
      <c r="G347">
        <f t="shared" si="23"/>
        <v>1953521.1523545708</v>
      </c>
    </row>
    <row r="348" spans="1:7" x14ac:dyDescent="0.2">
      <c r="A348" s="14">
        <v>33878</v>
      </c>
      <c r="B348" s="15">
        <v>716</v>
      </c>
      <c r="D348">
        <f t="shared" si="21"/>
        <v>716</v>
      </c>
      <c r="E348">
        <f t="shared" si="20"/>
        <v>16370.949413704182</v>
      </c>
      <c r="F348">
        <f t="shared" si="22"/>
        <v>245077441.14563692</v>
      </c>
      <c r="G348">
        <f t="shared" si="23"/>
        <v>1635033.3102493077</v>
      </c>
    </row>
    <row r="349" spans="1:7" x14ac:dyDescent="0.2">
      <c r="A349" s="14">
        <v>33909</v>
      </c>
      <c r="B349" s="15">
        <v>626</v>
      </c>
      <c r="D349">
        <f t="shared" si="21"/>
        <v>626</v>
      </c>
      <c r="E349">
        <f t="shared" si="20"/>
        <v>16370.949413704182</v>
      </c>
      <c r="F349">
        <f t="shared" si="22"/>
        <v>247903432.04010367</v>
      </c>
      <c r="G349">
        <f t="shared" si="23"/>
        <v>1873296.4681440445</v>
      </c>
    </row>
    <row r="350" spans="1:7" x14ac:dyDescent="0.2">
      <c r="A350" s="14">
        <v>33939</v>
      </c>
      <c r="B350" s="15">
        <v>514</v>
      </c>
      <c r="D350">
        <f t="shared" si="21"/>
        <v>514</v>
      </c>
      <c r="E350">
        <f t="shared" si="20"/>
        <v>16370.949413704182</v>
      </c>
      <c r="F350">
        <f t="shared" si="22"/>
        <v>251442844.7087734</v>
      </c>
      <c r="G350">
        <f t="shared" si="23"/>
        <v>2192425.7313019391</v>
      </c>
    </row>
    <row r="351" spans="1:7" x14ac:dyDescent="0.2">
      <c r="A351" s="14">
        <v>33970</v>
      </c>
      <c r="B351" s="15">
        <v>375</v>
      </c>
      <c r="D351">
        <f t="shared" si="21"/>
        <v>375</v>
      </c>
      <c r="E351">
        <f t="shared" si="20"/>
        <v>16370.949413704182</v>
      </c>
      <c r="F351">
        <f t="shared" si="22"/>
        <v>255870397.64578316</v>
      </c>
      <c r="G351">
        <f t="shared" si="23"/>
        <v>2623376.9418282551</v>
      </c>
    </row>
    <row r="352" spans="1:7" x14ac:dyDescent="0.2">
      <c r="A352" s="14">
        <v>34001</v>
      </c>
      <c r="B352" s="15">
        <v>558</v>
      </c>
      <c r="D352">
        <f t="shared" si="21"/>
        <v>558</v>
      </c>
      <c r="E352">
        <f t="shared" si="20"/>
        <v>16370.949413704182</v>
      </c>
      <c r="F352">
        <f t="shared" si="22"/>
        <v>250049369.16036743</v>
      </c>
      <c r="G352">
        <f t="shared" si="23"/>
        <v>2064061.5207756234</v>
      </c>
    </row>
    <row r="353" spans="1:7" x14ac:dyDescent="0.2">
      <c r="A353" s="14">
        <v>34029</v>
      </c>
      <c r="B353" s="15">
        <v>541</v>
      </c>
      <c r="D353">
        <f t="shared" si="21"/>
        <v>541</v>
      </c>
      <c r="E353">
        <f t="shared" si="20"/>
        <v>16370.949413704182</v>
      </c>
      <c r="F353">
        <f t="shared" si="22"/>
        <v>250587298.44043338</v>
      </c>
      <c r="G353">
        <f t="shared" si="23"/>
        <v>2113197.783933518</v>
      </c>
    </row>
    <row r="354" spans="1:7" x14ac:dyDescent="0.2">
      <c r="A354" s="14">
        <v>34060</v>
      </c>
      <c r="B354" s="15">
        <v>636</v>
      </c>
      <c r="D354">
        <f t="shared" si="21"/>
        <v>636</v>
      </c>
      <c r="E354">
        <f t="shared" si="20"/>
        <v>16370.949413704182</v>
      </c>
      <c r="F354">
        <f t="shared" si="22"/>
        <v>247588633.05182958</v>
      </c>
      <c r="G354">
        <f t="shared" si="23"/>
        <v>1846022.7839335182</v>
      </c>
    </row>
    <row r="355" spans="1:7" x14ac:dyDescent="0.2">
      <c r="A355" s="14">
        <v>34090</v>
      </c>
      <c r="B355" s="15">
        <v>565</v>
      </c>
      <c r="D355">
        <f t="shared" si="21"/>
        <v>565</v>
      </c>
      <c r="E355">
        <f t="shared" si="20"/>
        <v>16370.949413704182</v>
      </c>
      <c r="F355">
        <f t="shared" si="22"/>
        <v>249828036.86857557</v>
      </c>
      <c r="G355">
        <f t="shared" si="23"/>
        <v>2043996.9418282551</v>
      </c>
    </row>
    <row r="356" spans="1:7" x14ac:dyDescent="0.2">
      <c r="A356" s="14">
        <v>34121</v>
      </c>
      <c r="B356" s="15">
        <v>554</v>
      </c>
      <c r="D356">
        <f t="shared" si="21"/>
        <v>554</v>
      </c>
      <c r="E356">
        <f t="shared" si="20"/>
        <v>16370.949413704182</v>
      </c>
      <c r="F356">
        <f t="shared" si="22"/>
        <v>250175888.75567707</v>
      </c>
      <c r="G356">
        <f t="shared" si="23"/>
        <v>2075570.9944598339</v>
      </c>
    </row>
    <row r="357" spans="1:7" x14ac:dyDescent="0.2">
      <c r="A357" s="14">
        <v>34151</v>
      </c>
      <c r="B357" s="15">
        <v>444</v>
      </c>
      <c r="D357">
        <f t="shared" si="21"/>
        <v>444</v>
      </c>
      <c r="E357">
        <f t="shared" si="20"/>
        <v>16370.949413704182</v>
      </c>
      <c r="F357">
        <f t="shared" si="22"/>
        <v>253667717.626692</v>
      </c>
      <c r="G357">
        <f t="shared" si="23"/>
        <v>2404621.5207756236</v>
      </c>
    </row>
    <row r="358" spans="1:7" x14ac:dyDescent="0.2">
      <c r="A358" s="14">
        <v>34182</v>
      </c>
      <c r="B358" s="15">
        <v>464</v>
      </c>
      <c r="D358">
        <f t="shared" si="21"/>
        <v>464</v>
      </c>
      <c r="E358">
        <f t="shared" si="20"/>
        <v>16370.949413704182</v>
      </c>
      <c r="F358">
        <f t="shared" si="22"/>
        <v>253031039.65014383</v>
      </c>
      <c r="G358">
        <f t="shared" si="23"/>
        <v>2342994.1523545706</v>
      </c>
    </row>
    <row r="359" spans="1:7" x14ac:dyDescent="0.2">
      <c r="A359" s="14">
        <v>34213</v>
      </c>
      <c r="B359" s="15">
        <v>392</v>
      </c>
      <c r="D359">
        <f t="shared" si="21"/>
        <v>392</v>
      </c>
      <c r="E359">
        <f t="shared" si="20"/>
        <v>16370.949413704182</v>
      </c>
      <c r="F359">
        <f t="shared" si="22"/>
        <v>255326824.36571723</v>
      </c>
      <c r="G359">
        <f t="shared" si="23"/>
        <v>2568596.6786703602</v>
      </c>
    </row>
    <row r="360" spans="1:7" x14ac:dyDescent="0.2">
      <c r="A360" s="14">
        <v>34243</v>
      </c>
      <c r="B360" s="15">
        <v>415</v>
      </c>
      <c r="D360">
        <f t="shared" si="21"/>
        <v>415</v>
      </c>
      <c r="E360">
        <f t="shared" si="20"/>
        <v>16370.949413704182</v>
      </c>
      <c r="F360">
        <f t="shared" si="22"/>
        <v>254592321.69268683</v>
      </c>
      <c r="G360">
        <f t="shared" si="23"/>
        <v>2495402.2049861499</v>
      </c>
    </row>
    <row r="361" spans="1:7" x14ac:dyDescent="0.2">
      <c r="A361" s="14">
        <v>34274</v>
      </c>
      <c r="B361" s="15">
        <v>411</v>
      </c>
      <c r="D361">
        <f t="shared" si="21"/>
        <v>411</v>
      </c>
      <c r="E361">
        <f t="shared" si="20"/>
        <v>16370.949413704182</v>
      </c>
      <c r="F361">
        <f t="shared" si="22"/>
        <v>254719985.28799647</v>
      </c>
      <c r="G361">
        <f t="shared" si="23"/>
        <v>2508055.6786703602</v>
      </c>
    </row>
    <row r="362" spans="1:7" x14ac:dyDescent="0.2">
      <c r="A362" s="14">
        <v>34304</v>
      </c>
      <c r="B362" s="15">
        <v>444</v>
      </c>
      <c r="D362">
        <f t="shared" si="21"/>
        <v>444</v>
      </c>
      <c r="E362">
        <f t="shared" si="20"/>
        <v>16370.949413704182</v>
      </c>
      <c r="F362">
        <f t="shared" si="22"/>
        <v>253667717.626692</v>
      </c>
      <c r="G362">
        <f t="shared" si="23"/>
        <v>2404621.5207756236</v>
      </c>
    </row>
    <row r="363" spans="1:7" x14ac:dyDescent="0.2">
      <c r="A363" s="14">
        <v>34335</v>
      </c>
      <c r="B363" s="15">
        <v>422</v>
      </c>
      <c r="D363">
        <f t="shared" si="21"/>
        <v>422</v>
      </c>
      <c r="E363">
        <f t="shared" si="20"/>
        <v>16370.949413704182</v>
      </c>
      <c r="F363">
        <f t="shared" si="22"/>
        <v>254368987.40089497</v>
      </c>
      <c r="G363">
        <f t="shared" si="23"/>
        <v>2473335.6260387814</v>
      </c>
    </row>
    <row r="364" spans="1:7" x14ac:dyDescent="0.2">
      <c r="A364" s="14">
        <v>34366</v>
      </c>
      <c r="B364" s="15">
        <v>381</v>
      </c>
      <c r="D364">
        <f t="shared" si="21"/>
        <v>381</v>
      </c>
      <c r="E364">
        <f t="shared" ref="E364:E427" si="24">$E$5/(1+$D$5*C364)</f>
        <v>16370.949413704182</v>
      </c>
      <c r="F364">
        <f t="shared" si="22"/>
        <v>255678482.2528187</v>
      </c>
      <c r="G364">
        <f t="shared" si="23"/>
        <v>2603976.7313019391</v>
      </c>
    </row>
    <row r="365" spans="1:7" x14ac:dyDescent="0.2">
      <c r="A365" s="14">
        <v>34394</v>
      </c>
      <c r="B365" s="15">
        <v>440</v>
      </c>
      <c r="D365">
        <f t="shared" si="21"/>
        <v>440</v>
      </c>
      <c r="E365">
        <f t="shared" si="24"/>
        <v>16370.949413704182</v>
      </c>
      <c r="F365">
        <f t="shared" si="22"/>
        <v>253795149.22200161</v>
      </c>
      <c r="G365">
        <f t="shared" si="23"/>
        <v>2417042.9944598339</v>
      </c>
    </row>
    <row r="366" spans="1:7" x14ac:dyDescent="0.2">
      <c r="A366" s="14">
        <v>34425</v>
      </c>
      <c r="B366" s="15">
        <v>456</v>
      </c>
      <c r="D366">
        <f t="shared" si="21"/>
        <v>456</v>
      </c>
      <c r="E366">
        <f t="shared" si="24"/>
        <v>16370.949413704182</v>
      </c>
      <c r="F366">
        <f t="shared" si="22"/>
        <v>253285614.84076309</v>
      </c>
      <c r="G366">
        <f t="shared" si="23"/>
        <v>2367549.0997229917</v>
      </c>
    </row>
    <row r="367" spans="1:7" x14ac:dyDescent="0.2">
      <c r="A367" s="14">
        <v>34455</v>
      </c>
      <c r="B367" s="15">
        <v>478</v>
      </c>
      <c r="D367">
        <f t="shared" si="21"/>
        <v>478</v>
      </c>
      <c r="E367">
        <f t="shared" si="24"/>
        <v>16370.949413704182</v>
      </c>
      <c r="F367">
        <f t="shared" si="22"/>
        <v>252585841.06656009</v>
      </c>
      <c r="G367">
        <f t="shared" si="23"/>
        <v>2300330.9944598339</v>
      </c>
    </row>
    <row r="368" spans="1:7" x14ac:dyDescent="0.2">
      <c r="A368" s="14">
        <v>34486</v>
      </c>
      <c r="B368" s="15">
        <v>499</v>
      </c>
      <c r="D368">
        <f t="shared" si="21"/>
        <v>499</v>
      </c>
      <c r="E368">
        <f t="shared" si="24"/>
        <v>16370.949413704182</v>
      </c>
      <c r="F368">
        <f t="shared" si="22"/>
        <v>251918778.19118452</v>
      </c>
      <c r="G368">
        <f t="shared" si="23"/>
        <v>2237071.2576177288</v>
      </c>
    </row>
    <row r="369" spans="1:7" x14ac:dyDescent="0.2">
      <c r="A369" s="14">
        <v>34516</v>
      </c>
      <c r="B369" s="15">
        <v>586</v>
      </c>
      <c r="D369">
        <f t="shared" si="21"/>
        <v>586</v>
      </c>
      <c r="E369">
        <f t="shared" si="24"/>
        <v>16370.949413704182</v>
      </c>
      <c r="F369">
        <f t="shared" si="22"/>
        <v>249164627.9932</v>
      </c>
      <c r="G369">
        <f t="shared" si="23"/>
        <v>1984391.2049861497</v>
      </c>
    </row>
    <row r="370" spans="1:7" x14ac:dyDescent="0.2">
      <c r="A370" s="14">
        <v>34547</v>
      </c>
      <c r="B370" s="15">
        <v>504</v>
      </c>
      <c r="D370">
        <f t="shared" si="21"/>
        <v>504</v>
      </c>
      <c r="E370">
        <f t="shared" si="24"/>
        <v>16370.949413704182</v>
      </c>
      <c r="F370">
        <f t="shared" si="22"/>
        <v>251760083.69704747</v>
      </c>
      <c r="G370">
        <f t="shared" si="23"/>
        <v>2222139.4155124654</v>
      </c>
    </row>
    <row r="371" spans="1:7" x14ac:dyDescent="0.2">
      <c r="A371" s="14">
        <v>34578</v>
      </c>
      <c r="B371" s="15">
        <v>585</v>
      </c>
      <c r="D371">
        <f t="shared" si="21"/>
        <v>585</v>
      </c>
      <c r="E371">
        <f t="shared" si="24"/>
        <v>16370.949413704182</v>
      </c>
      <c r="F371">
        <f t="shared" si="22"/>
        <v>249196198.89202741</v>
      </c>
      <c r="G371">
        <f t="shared" si="23"/>
        <v>1987209.5734072023</v>
      </c>
    </row>
    <row r="372" spans="1:7" x14ac:dyDescent="0.2">
      <c r="A372" s="14">
        <v>34608</v>
      </c>
      <c r="B372" s="15">
        <v>615</v>
      </c>
      <c r="D372">
        <f t="shared" si="21"/>
        <v>615</v>
      </c>
      <c r="E372">
        <f t="shared" si="24"/>
        <v>16370.949413704182</v>
      </c>
      <c r="F372">
        <f t="shared" si="22"/>
        <v>248249941.92720515</v>
      </c>
      <c r="G372">
        <f t="shared" si="23"/>
        <v>1903528.5207756234</v>
      </c>
    </row>
    <row r="373" spans="1:7" x14ac:dyDescent="0.2">
      <c r="A373" s="14">
        <v>34639</v>
      </c>
      <c r="B373" s="15">
        <v>596</v>
      </c>
      <c r="D373">
        <f t="shared" si="21"/>
        <v>596</v>
      </c>
      <c r="E373">
        <f t="shared" si="24"/>
        <v>16370.949413704182</v>
      </c>
      <c r="F373">
        <f t="shared" si="22"/>
        <v>248849029.00492591</v>
      </c>
      <c r="G373">
        <f t="shared" si="23"/>
        <v>1956317.5207756234</v>
      </c>
    </row>
    <row r="374" spans="1:7" x14ac:dyDescent="0.2">
      <c r="A374" s="14">
        <v>34669</v>
      </c>
      <c r="B374" s="15">
        <v>777</v>
      </c>
      <c r="D374">
        <f t="shared" si="21"/>
        <v>777</v>
      </c>
      <c r="E374">
        <f t="shared" si="24"/>
        <v>16370.949413704182</v>
      </c>
      <c r="F374">
        <f t="shared" si="22"/>
        <v>243171258.31716499</v>
      </c>
      <c r="G374">
        <f t="shared" si="23"/>
        <v>1482754.8365650971</v>
      </c>
    </row>
    <row r="375" spans="1:7" x14ac:dyDescent="0.2">
      <c r="A375" s="14">
        <v>34700</v>
      </c>
      <c r="B375" s="15">
        <v>872</v>
      </c>
      <c r="D375">
        <f t="shared" si="21"/>
        <v>872</v>
      </c>
      <c r="E375">
        <f t="shared" si="24"/>
        <v>16370.949413704182</v>
      </c>
      <c r="F375">
        <f t="shared" si="22"/>
        <v>240217432.92856121</v>
      </c>
      <c r="G375">
        <f t="shared" si="23"/>
        <v>1260419.8365650971</v>
      </c>
    </row>
    <row r="376" spans="1:7" x14ac:dyDescent="0.2">
      <c r="A376" s="14">
        <v>34731</v>
      </c>
      <c r="B376" s="15">
        <v>943</v>
      </c>
      <c r="D376">
        <f t="shared" si="21"/>
        <v>943</v>
      </c>
      <c r="E376">
        <f t="shared" si="24"/>
        <v>16370.949413704182</v>
      </c>
      <c r="F376">
        <f t="shared" si="22"/>
        <v>238021623.11181521</v>
      </c>
      <c r="G376">
        <f t="shared" si="23"/>
        <v>1106039.6786703602</v>
      </c>
    </row>
    <row r="377" spans="1:7" x14ac:dyDescent="0.2">
      <c r="A377" s="14">
        <v>34759</v>
      </c>
      <c r="B377" s="15">
        <v>1062</v>
      </c>
      <c r="D377">
        <f t="shared" si="21"/>
        <v>1062</v>
      </c>
      <c r="E377">
        <f t="shared" si="24"/>
        <v>16370.949413704182</v>
      </c>
      <c r="F377">
        <f t="shared" si="22"/>
        <v>234363932.15135363</v>
      </c>
      <c r="G377">
        <f t="shared" si="23"/>
        <v>869899.8365650971</v>
      </c>
    </row>
    <row r="378" spans="1:7" x14ac:dyDescent="0.2">
      <c r="A378" s="14">
        <v>34790</v>
      </c>
      <c r="B378" s="15">
        <v>1158</v>
      </c>
      <c r="D378">
        <f t="shared" si="21"/>
        <v>1158</v>
      </c>
      <c r="E378">
        <f t="shared" si="24"/>
        <v>16370.949413704182</v>
      </c>
      <c r="F378">
        <f t="shared" si="22"/>
        <v>231433829.86392242</v>
      </c>
      <c r="G378">
        <f t="shared" si="23"/>
        <v>700040.4681440444</v>
      </c>
    </row>
    <row r="379" spans="1:7" x14ac:dyDescent="0.2">
      <c r="A379" s="14">
        <v>34820</v>
      </c>
      <c r="B379" s="15">
        <v>1476</v>
      </c>
      <c r="D379">
        <f t="shared" si="21"/>
        <v>1476</v>
      </c>
      <c r="E379">
        <f t="shared" si="24"/>
        <v>16370.949413704182</v>
      </c>
      <c r="F379">
        <f t="shared" si="22"/>
        <v>221859518.03680655</v>
      </c>
      <c r="G379">
        <f t="shared" si="23"/>
        <v>269033.31024930754</v>
      </c>
    </row>
    <row r="380" spans="1:7" x14ac:dyDescent="0.2">
      <c r="A380" s="14">
        <v>34851</v>
      </c>
      <c r="B380" s="15">
        <v>1276</v>
      </c>
      <c r="D380">
        <f t="shared" si="21"/>
        <v>1276</v>
      </c>
      <c r="E380">
        <f t="shared" si="24"/>
        <v>16370.949413704182</v>
      </c>
      <c r="F380">
        <f t="shared" si="22"/>
        <v>227857497.80228823</v>
      </c>
      <c r="G380">
        <f t="shared" si="23"/>
        <v>516506.99445983389</v>
      </c>
    </row>
    <row r="381" spans="1:7" x14ac:dyDescent="0.2">
      <c r="A381" s="14">
        <v>34881</v>
      </c>
      <c r="B381" s="15">
        <v>1430</v>
      </c>
      <c r="D381">
        <f t="shared" si="21"/>
        <v>1430</v>
      </c>
      <c r="E381">
        <f t="shared" si="24"/>
        <v>16370.949413704182</v>
      </c>
      <c r="F381">
        <f t="shared" si="22"/>
        <v>223231969.38286734</v>
      </c>
      <c r="G381">
        <f t="shared" si="23"/>
        <v>318868.25761772861</v>
      </c>
    </row>
    <row r="382" spans="1:7" x14ac:dyDescent="0.2">
      <c r="A382" s="14">
        <v>34912</v>
      </c>
      <c r="B382" s="15">
        <v>1432</v>
      </c>
      <c r="D382">
        <f t="shared" si="21"/>
        <v>1432</v>
      </c>
      <c r="E382">
        <f t="shared" si="24"/>
        <v>16370.949413704182</v>
      </c>
      <c r="F382">
        <f t="shared" si="22"/>
        <v>223172209.58521253</v>
      </c>
      <c r="G382">
        <f t="shared" si="23"/>
        <v>316613.52077562333</v>
      </c>
    </row>
    <row r="383" spans="1:7" x14ac:dyDescent="0.2">
      <c r="A383" s="14">
        <v>34943</v>
      </c>
      <c r="B383" s="15">
        <v>1491</v>
      </c>
      <c r="D383">
        <f t="shared" si="21"/>
        <v>1491</v>
      </c>
      <c r="E383">
        <f t="shared" si="24"/>
        <v>16370.949413704182</v>
      </c>
      <c r="F383">
        <f t="shared" si="22"/>
        <v>221412894.55439544</v>
      </c>
      <c r="G383">
        <f t="shared" si="23"/>
        <v>253697.78393351805</v>
      </c>
    </row>
    <row r="384" spans="1:7" x14ac:dyDescent="0.2">
      <c r="A384" s="14">
        <v>34973</v>
      </c>
      <c r="B384" s="15">
        <v>1330</v>
      </c>
      <c r="D384">
        <f t="shared" si="21"/>
        <v>1330</v>
      </c>
      <c r="E384">
        <f t="shared" si="24"/>
        <v>16370.949413704182</v>
      </c>
      <c r="F384">
        <f t="shared" si="22"/>
        <v>226230159.26560816</v>
      </c>
      <c r="G384">
        <f t="shared" si="23"/>
        <v>441805.09972299176</v>
      </c>
    </row>
    <row r="385" spans="1:7" x14ac:dyDescent="0.2">
      <c r="A385" s="14">
        <v>35004</v>
      </c>
      <c r="B385" s="15">
        <v>1571</v>
      </c>
      <c r="D385">
        <f t="shared" si="21"/>
        <v>1571</v>
      </c>
      <c r="E385">
        <f t="shared" si="24"/>
        <v>16370.949413704182</v>
      </c>
      <c r="F385">
        <f t="shared" si="22"/>
        <v>219038502.64820275</v>
      </c>
      <c r="G385">
        <f t="shared" si="23"/>
        <v>179508.31024930751</v>
      </c>
    </row>
    <row r="386" spans="1:7" x14ac:dyDescent="0.2">
      <c r="A386" s="14">
        <v>35034</v>
      </c>
      <c r="B386" s="15">
        <v>1400</v>
      </c>
      <c r="D386">
        <f t="shared" si="21"/>
        <v>1400</v>
      </c>
      <c r="E386">
        <f t="shared" si="24"/>
        <v>16370.949413704182</v>
      </c>
      <c r="F386">
        <f t="shared" si="22"/>
        <v>224129326.3476896</v>
      </c>
      <c r="G386">
        <f t="shared" si="23"/>
        <v>353649.31024930754</v>
      </c>
    </row>
    <row r="387" spans="1:7" x14ac:dyDescent="0.2">
      <c r="A387" s="14">
        <v>35065</v>
      </c>
      <c r="B387" s="15">
        <v>1565</v>
      </c>
      <c r="D387">
        <f t="shared" si="21"/>
        <v>1565</v>
      </c>
      <c r="E387">
        <f t="shared" si="24"/>
        <v>16370.949413704182</v>
      </c>
      <c r="F387">
        <f t="shared" si="22"/>
        <v>219216138.0411672</v>
      </c>
      <c r="G387">
        <f t="shared" si="23"/>
        <v>184628.5207756233</v>
      </c>
    </row>
    <row r="388" spans="1:7" x14ac:dyDescent="0.2">
      <c r="A388" s="14">
        <v>35096</v>
      </c>
      <c r="B388" s="15">
        <v>1612</v>
      </c>
      <c r="D388">
        <f t="shared" si="21"/>
        <v>1612</v>
      </c>
      <c r="E388">
        <f t="shared" si="24"/>
        <v>16370.949413704182</v>
      </c>
      <c r="F388">
        <f t="shared" si="22"/>
        <v>217826587.79627901</v>
      </c>
      <c r="G388">
        <f t="shared" si="23"/>
        <v>146447.20498614962</v>
      </c>
    </row>
    <row r="389" spans="1:7" x14ac:dyDescent="0.2">
      <c r="A389" s="14">
        <v>35125</v>
      </c>
      <c r="B389" s="15">
        <v>1604</v>
      </c>
      <c r="D389">
        <f t="shared" si="21"/>
        <v>1604</v>
      </c>
      <c r="E389">
        <f t="shared" si="24"/>
        <v>16370.949413704182</v>
      </c>
      <c r="F389">
        <f t="shared" si="22"/>
        <v>218062794.98689827</v>
      </c>
      <c r="G389">
        <f t="shared" si="23"/>
        <v>152634.15235457069</v>
      </c>
    </row>
    <row r="390" spans="1:7" x14ac:dyDescent="0.2">
      <c r="A390" s="14">
        <v>35156</v>
      </c>
      <c r="B390" s="15">
        <v>1483</v>
      </c>
      <c r="D390">
        <f t="shared" si="21"/>
        <v>1483</v>
      </c>
      <c r="E390">
        <f t="shared" si="24"/>
        <v>16370.949413704182</v>
      </c>
      <c r="F390">
        <f t="shared" si="22"/>
        <v>221651037.7450147</v>
      </c>
      <c r="G390">
        <f t="shared" si="23"/>
        <v>261820.73130193911</v>
      </c>
    </row>
    <row r="391" spans="1:7" x14ac:dyDescent="0.2">
      <c r="A391" s="14">
        <v>35186</v>
      </c>
      <c r="B391" s="15">
        <v>1696</v>
      </c>
      <c r="D391">
        <f t="shared" si="21"/>
        <v>1696</v>
      </c>
      <c r="E391">
        <f t="shared" si="24"/>
        <v>16370.949413704182</v>
      </c>
      <c r="F391">
        <f t="shared" si="22"/>
        <v>215354140.29477671</v>
      </c>
      <c r="G391">
        <f t="shared" si="23"/>
        <v>89212.257617728566</v>
      </c>
    </row>
    <row r="392" spans="1:7" x14ac:dyDescent="0.2">
      <c r="A392" s="14">
        <v>35217</v>
      </c>
      <c r="B392" s="15">
        <v>1647</v>
      </c>
      <c r="D392">
        <f t="shared" si="21"/>
        <v>1647</v>
      </c>
      <c r="E392">
        <f t="shared" si="24"/>
        <v>16370.949413704182</v>
      </c>
      <c r="F392">
        <f t="shared" si="22"/>
        <v>216794686.33731973</v>
      </c>
      <c r="G392">
        <f t="shared" si="23"/>
        <v>120884.31024930751</v>
      </c>
    </row>
    <row r="393" spans="1:7" x14ac:dyDescent="0.2">
      <c r="A393" s="14">
        <v>35247</v>
      </c>
      <c r="B393" s="15">
        <v>1792</v>
      </c>
      <c r="D393">
        <f t="shared" si="21"/>
        <v>1792</v>
      </c>
      <c r="E393">
        <f t="shared" si="24"/>
        <v>16370.949413704182</v>
      </c>
      <c r="F393">
        <f t="shared" si="22"/>
        <v>212545766.0073455</v>
      </c>
      <c r="G393">
        <f t="shared" si="23"/>
        <v>41080.889196675918</v>
      </c>
    </row>
    <row r="394" spans="1:7" x14ac:dyDescent="0.2">
      <c r="A394" s="14">
        <v>35278</v>
      </c>
      <c r="B394" s="15">
        <v>1595</v>
      </c>
      <c r="D394">
        <f t="shared" si="21"/>
        <v>1595</v>
      </c>
      <c r="E394">
        <f t="shared" si="24"/>
        <v>16370.949413704182</v>
      </c>
      <c r="F394">
        <f t="shared" si="22"/>
        <v>218328681.07634497</v>
      </c>
      <c r="G394">
        <f t="shared" si="23"/>
        <v>159747.46814404437</v>
      </c>
    </row>
    <row r="395" spans="1:7" x14ac:dyDescent="0.2">
      <c r="A395" s="14">
        <v>35309</v>
      </c>
      <c r="B395" s="15">
        <v>1757</v>
      </c>
      <c r="D395">
        <f t="shared" si="21"/>
        <v>1757</v>
      </c>
      <c r="E395">
        <f t="shared" si="24"/>
        <v>16370.949413704182</v>
      </c>
      <c r="F395">
        <f t="shared" si="22"/>
        <v>213567517.46630481</v>
      </c>
      <c r="G395">
        <f t="shared" si="23"/>
        <v>56493.783933518025</v>
      </c>
    </row>
    <row r="396" spans="1:7" x14ac:dyDescent="0.2">
      <c r="A396" s="14">
        <v>35339</v>
      </c>
      <c r="B396" s="15">
        <v>1772</v>
      </c>
      <c r="D396">
        <f t="shared" si="21"/>
        <v>1772</v>
      </c>
      <c r="E396">
        <f t="shared" si="24"/>
        <v>16370.949413704182</v>
      </c>
      <c r="F396">
        <f t="shared" si="22"/>
        <v>213129323.98389369</v>
      </c>
      <c r="G396">
        <f t="shared" si="23"/>
        <v>49588.257617728552</v>
      </c>
    </row>
    <row r="397" spans="1:7" x14ac:dyDescent="0.2">
      <c r="A397" s="14">
        <v>35370</v>
      </c>
      <c r="B397" s="15">
        <v>1710</v>
      </c>
      <c r="D397">
        <f t="shared" ref="D397:D460" si="25">B397</f>
        <v>1710</v>
      </c>
      <c r="E397">
        <f t="shared" si="24"/>
        <v>16370.949413704182</v>
      </c>
      <c r="F397">
        <f t="shared" ref="F397:F460" si="26">(D397-E397)^2</f>
        <v>214943437.711193</v>
      </c>
      <c r="G397">
        <f t="shared" ref="G397:G460" si="27">(D397-$G$5)^2</f>
        <v>81045.099722991712</v>
      </c>
    </row>
    <row r="398" spans="1:7" x14ac:dyDescent="0.2">
      <c r="A398" s="14">
        <v>35400</v>
      </c>
      <c r="B398" s="15">
        <v>1529</v>
      </c>
      <c r="D398">
        <f t="shared" si="25"/>
        <v>1529</v>
      </c>
      <c r="E398">
        <f t="shared" si="24"/>
        <v>16370.949413704182</v>
      </c>
      <c r="F398">
        <f t="shared" si="26"/>
        <v>220283462.39895391</v>
      </c>
      <c r="G398">
        <f t="shared" si="27"/>
        <v>216861.78393351805</v>
      </c>
    </row>
    <row r="399" spans="1:7" x14ac:dyDescent="0.2">
      <c r="A399" s="14">
        <v>35431</v>
      </c>
      <c r="B399" s="15">
        <v>1777</v>
      </c>
      <c r="D399">
        <f t="shared" si="25"/>
        <v>1777</v>
      </c>
      <c r="E399">
        <f t="shared" si="24"/>
        <v>16370.949413704182</v>
      </c>
      <c r="F399">
        <f t="shared" si="26"/>
        <v>212983359.48975664</v>
      </c>
      <c r="G399">
        <f t="shared" si="27"/>
        <v>47386.415512465392</v>
      </c>
    </row>
    <row r="400" spans="1:7" x14ac:dyDescent="0.2">
      <c r="A400" s="14">
        <v>35462</v>
      </c>
      <c r="B400" s="15">
        <v>1734</v>
      </c>
      <c r="D400">
        <f t="shared" si="25"/>
        <v>1734</v>
      </c>
      <c r="E400">
        <f t="shared" si="24"/>
        <v>16370.949413704182</v>
      </c>
      <c r="F400">
        <f t="shared" si="26"/>
        <v>214240288.13933519</v>
      </c>
      <c r="G400">
        <f t="shared" si="27"/>
        <v>67956.257617728552</v>
      </c>
    </row>
    <row r="401" spans="1:7" x14ac:dyDescent="0.2">
      <c r="A401" s="14">
        <v>35490</v>
      </c>
      <c r="B401" s="15">
        <v>1979</v>
      </c>
      <c r="D401">
        <f t="shared" si="25"/>
        <v>1979</v>
      </c>
      <c r="E401">
        <f t="shared" si="24"/>
        <v>16370.949413704182</v>
      </c>
      <c r="F401">
        <f t="shared" si="26"/>
        <v>207128207.92662016</v>
      </c>
      <c r="G401">
        <f t="shared" si="27"/>
        <v>245.99445983379653</v>
      </c>
    </row>
    <row r="402" spans="1:7" x14ac:dyDescent="0.2">
      <c r="A402" s="14">
        <v>35521</v>
      </c>
      <c r="B402" s="15">
        <v>1957</v>
      </c>
      <c r="D402">
        <f t="shared" si="25"/>
        <v>1957</v>
      </c>
      <c r="E402">
        <f t="shared" si="24"/>
        <v>16370.949413704182</v>
      </c>
      <c r="F402">
        <f t="shared" si="26"/>
        <v>207761937.70082313</v>
      </c>
      <c r="G402">
        <f t="shared" si="27"/>
        <v>1420.0997229916934</v>
      </c>
    </row>
    <row r="403" spans="1:7" x14ac:dyDescent="0.2">
      <c r="A403" s="14">
        <v>35551</v>
      </c>
      <c r="B403" s="15">
        <v>2109</v>
      </c>
      <c r="D403">
        <f t="shared" si="25"/>
        <v>2109</v>
      </c>
      <c r="E403">
        <f t="shared" si="24"/>
        <v>16370.949413704182</v>
      </c>
      <c r="F403">
        <f t="shared" si="26"/>
        <v>203403201.07905707</v>
      </c>
      <c r="G403">
        <f t="shared" si="27"/>
        <v>13068.099722991679</v>
      </c>
    </row>
    <row r="404" spans="1:7" x14ac:dyDescent="0.2">
      <c r="A404" s="14">
        <v>35582</v>
      </c>
      <c r="B404" s="15">
        <v>2104</v>
      </c>
      <c r="D404">
        <f t="shared" si="25"/>
        <v>2104</v>
      </c>
      <c r="E404">
        <f t="shared" si="24"/>
        <v>16370.949413704182</v>
      </c>
      <c r="F404">
        <f t="shared" si="26"/>
        <v>203545845.57319412</v>
      </c>
      <c r="G404">
        <f t="shared" si="27"/>
        <v>11949.941828254838</v>
      </c>
    </row>
    <row r="405" spans="1:7" x14ac:dyDescent="0.2">
      <c r="A405" s="14">
        <v>35612</v>
      </c>
      <c r="B405" s="15">
        <v>2233</v>
      </c>
      <c r="D405">
        <f t="shared" si="25"/>
        <v>2233</v>
      </c>
      <c r="E405">
        <f t="shared" si="24"/>
        <v>16370.949413704182</v>
      </c>
      <c r="F405">
        <f t="shared" si="26"/>
        <v>199881613.62445843</v>
      </c>
      <c r="G405">
        <f t="shared" si="27"/>
        <v>56794.415512465348</v>
      </c>
    </row>
    <row r="406" spans="1:7" x14ac:dyDescent="0.2">
      <c r="A406" s="14">
        <v>35643</v>
      </c>
      <c r="B406" s="15">
        <v>2229</v>
      </c>
      <c r="D406">
        <f t="shared" si="25"/>
        <v>2229</v>
      </c>
      <c r="E406">
        <f t="shared" si="24"/>
        <v>16370.949413704182</v>
      </c>
      <c r="F406">
        <f t="shared" si="26"/>
        <v>199994733.21976805</v>
      </c>
      <c r="G406">
        <f t="shared" si="27"/>
        <v>54903.889196675875</v>
      </c>
    </row>
    <row r="407" spans="1:7" x14ac:dyDescent="0.2">
      <c r="A407" s="14">
        <v>35674</v>
      </c>
      <c r="B407" s="15">
        <v>2115</v>
      </c>
      <c r="D407">
        <f t="shared" si="25"/>
        <v>2115</v>
      </c>
      <c r="E407">
        <f t="shared" si="24"/>
        <v>16370.949413704182</v>
      </c>
      <c r="F407">
        <f t="shared" si="26"/>
        <v>203232093.68609262</v>
      </c>
      <c r="G407">
        <f t="shared" si="27"/>
        <v>14475.889196675889</v>
      </c>
    </row>
    <row r="408" spans="1:7" x14ac:dyDescent="0.2">
      <c r="A408" s="14">
        <v>35704</v>
      </c>
      <c r="B408" s="15">
        <v>2191</v>
      </c>
      <c r="D408">
        <f t="shared" si="25"/>
        <v>2191</v>
      </c>
      <c r="E408">
        <f t="shared" si="24"/>
        <v>16370.949413704182</v>
      </c>
      <c r="F408">
        <f t="shared" si="26"/>
        <v>201070965.37520957</v>
      </c>
      <c r="G408">
        <f t="shared" si="27"/>
        <v>38539.889196675882</v>
      </c>
    </row>
    <row r="409" spans="1:7" x14ac:dyDescent="0.2">
      <c r="A409" s="14">
        <v>35735</v>
      </c>
      <c r="B409" s="15">
        <v>2588</v>
      </c>
      <c r="D409">
        <f t="shared" si="25"/>
        <v>2588</v>
      </c>
      <c r="E409">
        <f t="shared" si="24"/>
        <v>16370.949413704182</v>
      </c>
      <c r="F409">
        <f t="shared" si="26"/>
        <v>189969694.54072845</v>
      </c>
      <c r="G409">
        <f t="shared" si="27"/>
        <v>352023.62603878113</v>
      </c>
    </row>
    <row r="410" spans="1:7" x14ac:dyDescent="0.2">
      <c r="A410" s="14">
        <v>35765</v>
      </c>
      <c r="B410" s="15">
        <v>2646</v>
      </c>
      <c r="D410">
        <f t="shared" si="25"/>
        <v>2646</v>
      </c>
      <c r="E410">
        <f t="shared" si="24"/>
        <v>16370.949413704182</v>
      </c>
      <c r="F410">
        <f t="shared" si="26"/>
        <v>188374236.40873876</v>
      </c>
      <c r="G410">
        <f t="shared" si="27"/>
        <v>424212.25761772849</v>
      </c>
    </row>
    <row r="411" spans="1:7" x14ac:dyDescent="0.2">
      <c r="A411" s="14">
        <v>35796</v>
      </c>
      <c r="B411" s="15">
        <v>2607</v>
      </c>
      <c r="D411">
        <f t="shared" si="25"/>
        <v>2607</v>
      </c>
      <c r="E411">
        <f t="shared" si="24"/>
        <v>16370.949413704182</v>
      </c>
      <c r="F411">
        <f t="shared" si="26"/>
        <v>189446303.46300769</v>
      </c>
      <c r="G411">
        <f t="shared" si="27"/>
        <v>374930.62603878108</v>
      </c>
    </row>
    <row r="412" spans="1:7" x14ac:dyDescent="0.2">
      <c r="A412" s="14">
        <v>35827</v>
      </c>
      <c r="B412" s="15">
        <v>2112</v>
      </c>
      <c r="D412">
        <f t="shared" si="25"/>
        <v>2112</v>
      </c>
      <c r="E412">
        <f t="shared" si="24"/>
        <v>16370.949413704182</v>
      </c>
      <c r="F412">
        <f t="shared" si="26"/>
        <v>203317638.38257483</v>
      </c>
      <c r="G412">
        <f t="shared" si="27"/>
        <v>13762.994459833784</v>
      </c>
    </row>
    <row r="413" spans="1:7" x14ac:dyDescent="0.2">
      <c r="A413" s="14">
        <v>35855</v>
      </c>
      <c r="B413" s="15">
        <v>2681</v>
      </c>
      <c r="D413">
        <f t="shared" si="25"/>
        <v>2681</v>
      </c>
      <c r="E413">
        <f t="shared" si="24"/>
        <v>16370.949413704182</v>
      </c>
      <c r="F413">
        <f t="shared" si="26"/>
        <v>187414714.94977948</v>
      </c>
      <c r="G413">
        <f t="shared" si="27"/>
        <v>471029.36288088636</v>
      </c>
    </row>
    <row r="414" spans="1:7" x14ac:dyDescent="0.2">
      <c r="A414" s="14">
        <v>35886</v>
      </c>
      <c r="B414" s="15">
        <v>2615</v>
      </c>
      <c r="D414">
        <f t="shared" si="25"/>
        <v>2615</v>
      </c>
      <c r="E414">
        <f t="shared" si="24"/>
        <v>16370.949413704182</v>
      </c>
      <c r="F414">
        <f t="shared" si="26"/>
        <v>189226144.27238843</v>
      </c>
      <c r="G414">
        <f t="shared" si="27"/>
        <v>384791.67867036007</v>
      </c>
    </row>
    <row r="415" spans="1:7" x14ac:dyDescent="0.2">
      <c r="A415" s="14">
        <v>35916</v>
      </c>
      <c r="B415" s="15">
        <v>3032</v>
      </c>
      <c r="D415">
        <f t="shared" si="25"/>
        <v>3032</v>
      </c>
      <c r="E415">
        <f t="shared" si="24"/>
        <v>16370.949413704182</v>
      </c>
      <c r="F415">
        <f t="shared" si="26"/>
        <v>177927571.46135914</v>
      </c>
      <c r="G415">
        <f t="shared" si="27"/>
        <v>1076024.0470914126</v>
      </c>
    </row>
    <row r="416" spans="1:7" x14ac:dyDescent="0.2">
      <c r="A416" s="14">
        <v>35947</v>
      </c>
      <c r="B416" s="15">
        <v>2936</v>
      </c>
      <c r="D416">
        <f t="shared" si="25"/>
        <v>2936</v>
      </c>
      <c r="E416">
        <f t="shared" si="24"/>
        <v>16370.949413704182</v>
      </c>
      <c r="F416">
        <f t="shared" si="26"/>
        <v>180497865.74879035</v>
      </c>
      <c r="G416">
        <f t="shared" si="27"/>
        <v>886075.41551246529</v>
      </c>
    </row>
    <row r="417" spans="1:7" x14ac:dyDescent="0.2">
      <c r="A417" s="14">
        <v>35977</v>
      </c>
      <c r="B417" s="15">
        <v>3071</v>
      </c>
      <c r="D417">
        <f t="shared" si="25"/>
        <v>3071</v>
      </c>
      <c r="E417">
        <f t="shared" si="24"/>
        <v>16370.949413704182</v>
      </c>
      <c r="F417">
        <f t="shared" si="26"/>
        <v>176888654.40709022</v>
      </c>
      <c r="G417">
        <f t="shared" si="27"/>
        <v>1158455.67867036</v>
      </c>
    </row>
    <row r="418" spans="1:7" x14ac:dyDescent="0.2">
      <c r="A418" s="14">
        <v>36008</v>
      </c>
      <c r="B418" s="15">
        <v>2972</v>
      </c>
      <c r="D418">
        <f t="shared" si="25"/>
        <v>2972</v>
      </c>
      <c r="E418">
        <f t="shared" si="24"/>
        <v>16370.949413704182</v>
      </c>
      <c r="F418">
        <f t="shared" si="26"/>
        <v>179531845.39100364</v>
      </c>
      <c r="G418">
        <f t="shared" si="27"/>
        <v>955146.15235457057</v>
      </c>
    </row>
    <row r="419" spans="1:7" x14ac:dyDescent="0.2">
      <c r="A419" s="14">
        <v>36039</v>
      </c>
      <c r="B419" s="15">
        <v>3103</v>
      </c>
      <c r="D419">
        <f t="shared" si="25"/>
        <v>3103</v>
      </c>
      <c r="E419">
        <f t="shared" si="24"/>
        <v>16370.949413704182</v>
      </c>
      <c r="F419">
        <f t="shared" si="26"/>
        <v>176038481.64461315</v>
      </c>
      <c r="G419">
        <f t="shared" si="27"/>
        <v>1228363.8891966757</v>
      </c>
    </row>
    <row r="420" spans="1:7" x14ac:dyDescent="0.2">
      <c r="A420" s="14">
        <v>36069</v>
      </c>
      <c r="B420" s="15">
        <v>2971</v>
      </c>
      <c r="D420">
        <f t="shared" si="25"/>
        <v>2971</v>
      </c>
      <c r="E420">
        <f t="shared" si="24"/>
        <v>16370.949413704182</v>
      </c>
      <c r="F420">
        <f t="shared" si="26"/>
        <v>179558644.28983104</v>
      </c>
      <c r="G420">
        <f t="shared" si="27"/>
        <v>953192.52077562315</v>
      </c>
    </row>
    <row r="421" spans="1:7" x14ac:dyDescent="0.2">
      <c r="A421" s="14">
        <v>36100</v>
      </c>
      <c r="B421" s="15">
        <v>2997</v>
      </c>
      <c r="D421">
        <f t="shared" si="25"/>
        <v>2997</v>
      </c>
      <c r="E421">
        <f t="shared" si="24"/>
        <v>16370.949413704182</v>
      </c>
      <c r="F421">
        <f t="shared" si="26"/>
        <v>178862522.92031842</v>
      </c>
      <c r="G421">
        <f t="shared" si="27"/>
        <v>1004636.9418282547</v>
      </c>
    </row>
    <row r="422" spans="1:7" x14ac:dyDescent="0.2">
      <c r="A422" s="14">
        <v>36130</v>
      </c>
      <c r="B422" s="15">
        <v>2891</v>
      </c>
      <c r="D422">
        <f t="shared" si="25"/>
        <v>2891</v>
      </c>
      <c r="E422">
        <f t="shared" si="24"/>
        <v>16370.949413704182</v>
      </c>
      <c r="F422">
        <f t="shared" si="26"/>
        <v>181709036.19602373</v>
      </c>
      <c r="G422">
        <f t="shared" si="27"/>
        <v>803381.99445983372</v>
      </c>
    </row>
    <row r="423" spans="1:7" x14ac:dyDescent="0.2">
      <c r="A423" s="14">
        <v>36161</v>
      </c>
      <c r="B423" s="15">
        <v>2859</v>
      </c>
      <c r="D423">
        <f t="shared" si="25"/>
        <v>2859</v>
      </c>
      <c r="E423">
        <f t="shared" si="24"/>
        <v>16370.949413704182</v>
      </c>
      <c r="F423">
        <f t="shared" si="26"/>
        <v>182572776.9585008</v>
      </c>
      <c r="G423">
        <f t="shared" si="27"/>
        <v>747041.78393351787</v>
      </c>
    </row>
    <row r="424" spans="1:7" x14ac:dyDescent="0.2">
      <c r="A424" s="14">
        <v>36192</v>
      </c>
      <c r="B424" s="15">
        <v>2645</v>
      </c>
      <c r="D424">
        <f t="shared" si="25"/>
        <v>2645</v>
      </c>
      <c r="E424">
        <f t="shared" si="24"/>
        <v>16370.949413704182</v>
      </c>
      <c r="F424">
        <f t="shared" si="26"/>
        <v>188401687.30756617</v>
      </c>
      <c r="G424">
        <f t="shared" si="27"/>
        <v>422910.62603878108</v>
      </c>
    </row>
    <row r="425" spans="1:7" x14ac:dyDescent="0.2">
      <c r="A425" s="14">
        <v>36220</v>
      </c>
      <c r="B425" s="15">
        <v>2915</v>
      </c>
      <c r="D425">
        <f t="shared" si="25"/>
        <v>2915</v>
      </c>
      <c r="E425">
        <f t="shared" si="24"/>
        <v>16370.949413704182</v>
      </c>
      <c r="F425">
        <f t="shared" si="26"/>
        <v>181062574.62416592</v>
      </c>
      <c r="G425">
        <f t="shared" si="27"/>
        <v>846981.15235457057</v>
      </c>
    </row>
    <row r="426" spans="1:7" x14ac:dyDescent="0.2">
      <c r="A426" s="14">
        <v>36251</v>
      </c>
      <c r="B426" s="15">
        <v>2994</v>
      </c>
      <c r="D426">
        <f t="shared" si="25"/>
        <v>2994</v>
      </c>
      <c r="E426">
        <f t="shared" si="24"/>
        <v>16370.949413704182</v>
      </c>
      <c r="F426">
        <f t="shared" si="26"/>
        <v>178942775.61680067</v>
      </c>
      <c r="G426">
        <f t="shared" si="27"/>
        <v>998632.04709141259</v>
      </c>
    </row>
    <row r="427" spans="1:7" x14ac:dyDescent="0.2">
      <c r="A427" s="14">
        <v>36281</v>
      </c>
      <c r="B427" s="15">
        <v>2702</v>
      </c>
      <c r="D427">
        <f t="shared" si="25"/>
        <v>2702</v>
      </c>
      <c r="E427">
        <f t="shared" si="24"/>
        <v>16370.949413704182</v>
      </c>
      <c r="F427">
        <f t="shared" si="26"/>
        <v>186840178.07440391</v>
      </c>
      <c r="G427">
        <f t="shared" si="27"/>
        <v>500295.62603878108</v>
      </c>
    </row>
    <row r="428" spans="1:7" x14ac:dyDescent="0.2">
      <c r="A428" s="14">
        <v>36312</v>
      </c>
      <c r="B428" s="15">
        <v>2763</v>
      </c>
      <c r="D428">
        <f t="shared" si="25"/>
        <v>2763</v>
      </c>
      <c r="E428">
        <f t="shared" ref="E428:E491" si="28">$E$5/(1+$D$5*C428)</f>
        <v>16370.949413704182</v>
      </c>
      <c r="F428">
        <f t="shared" si="26"/>
        <v>185176287.24593198</v>
      </c>
      <c r="G428">
        <f t="shared" si="27"/>
        <v>590309.15235457057</v>
      </c>
    </row>
    <row r="429" spans="1:7" x14ac:dyDescent="0.2">
      <c r="A429" s="14">
        <v>36342</v>
      </c>
      <c r="B429" s="15">
        <v>3128</v>
      </c>
      <c r="D429">
        <f t="shared" si="25"/>
        <v>3128</v>
      </c>
      <c r="E429">
        <f t="shared" si="28"/>
        <v>16370.949413704182</v>
      </c>
      <c r="F429">
        <f t="shared" si="26"/>
        <v>175375709.17392793</v>
      </c>
      <c r="G429">
        <f t="shared" si="27"/>
        <v>1284404.67867036</v>
      </c>
    </row>
    <row r="430" spans="1:7" x14ac:dyDescent="0.2">
      <c r="A430" s="14">
        <v>36373</v>
      </c>
      <c r="B430" s="15">
        <v>2869</v>
      </c>
      <c r="D430">
        <f t="shared" si="25"/>
        <v>2869</v>
      </c>
      <c r="E430">
        <f t="shared" si="28"/>
        <v>16370.949413704182</v>
      </c>
      <c r="F430">
        <f t="shared" si="26"/>
        <v>182302637.97022671</v>
      </c>
      <c r="G430">
        <f t="shared" si="27"/>
        <v>764428.09972299158</v>
      </c>
    </row>
    <row r="431" spans="1:7" x14ac:dyDescent="0.2">
      <c r="A431" s="14">
        <v>36404</v>
      </c>
      <c r="B431" s="15">
        <v>2816</v>
      </c>
      <c r="D431">
        <f t="shared" si="25"/>
        <v>2816</v>
      </c>
      <c r="E431">
        <f t="shared" si="28"/>
        <v>16370.949413704182</v>
      </c>
      <c r="F431">
        <f t="shared" si="26"/>
        <v>183736653.60807934</v>
      </c>
      <c r="G431">
        <f t="shared" si="27"/>
        <v>674559.62603878113</v>
      </c>
    </row>
    <row r="432" spans="1:7" x14ac:dyDescent="0.2">
      <c r="A432" s="14">
        <v>36434</v>
      </c>
      <c r="B432" s="15">
        <v>2806</v>
      </c>
      <c r="D432">
        <f t="shared" si="25"/>
        <v>2806</v>
      </c>
      <c r="E432">
        <f t="shared" si="28"/>
        <v>16370.949413704182</v>
      </c>
      <c r="F432">
        <f t="shared" si="26"/>
        <v>184007852.59635344</v>
      </c>
      <c r="G432">
        <f t="shared" si="27"/>
        <v>658233.31024930743</v>
      </c>
    </row>
    <row r="433" spans="1:7" x14ac:dyDescent="0.2">
      <c r="A433" s="14">
        <v>36465</v>
      </c>
      <c r="B433" s="15">
        <v>2822</v>
      </c>
      <c r="D433">
        <f t="shared" si="25"/>
        <v>2822</v>
      </c>
      <c r="E433">
        <f t="shared" si="28"/>
        <v>16370.949413704182</v>
      </c>
      <c r="F433">
        <f t="shared" si="26"/>
        <v>183574030.21511489</v>
      </c>
      <c r="G433">
        <f t="shared" si="27"/>
        <v>684451.41551246529</v>
      </c>
    </row>
    <row r="434" spans="1:7" x14ac:dyDescent="0.2">
      <c r="A434" s="14">
        <v>36495</v>
      </c>
      <c r="B434" s="15">
        <v>2740</v>
      </c>
      <c r="D434">
        <f t="shared" si="25"/>
        <v>2740</v>
      </c>
      <c r="E434">
        <f t="shared" si="28"/>
        <v>16370.949413704182</v>
      </c>
      <c r="F434">
        <f t="shared" si="26"/>
        <v>185802781.91896239</v>
      </c>
      <c r="G434">
        <f t="shared" si="27"/>
        <v>555495.62603878113</v>
      </c>
    </row>
    <row r="435" spans="1:7" x14ac:dyDescent="0.2">
      <c r="A435" s="14">
        <v>36526</v>
      </c>
      <c r="B435" s="15">
        <v>2550</v>
      </c>
      <c r="D435">
        <f t="shared" si="25"/>
        <v>2550</v>
      </c>
      <c r="E435">
        <f t="shared" si="28"/>
        <v>16370.949413704182</v>
      </c>
      <c r="F435">
        <f t="shared" si="26"/>
        <v>191018642.69616997</v>
      </c>
      <c r="G435">
        <f t="shared" si="27"/>
        <v>308375.62603878113</v>
      </c>
    </row>
    <row r="436" spans="1:7" x14ac:dyDescent="0.2">
      <c r="A436" s="14">
        <v>36557</v>
      </c>
      <c r="B436" s="15">
        <v>2186</v>
      </c>
      <c r="D436">
        <f t="shared" si="25"/>
        <v>2186</v>
      </c>
      <c r="E436">
        <f t="shared" si="28"/>
        <v>16370.949413704182</v>
      </c>
      <c r="F436">
        <f t="shared" si="26"/>
        <v>201212789.86934662</v>
      </c>
      <c r="G436">
        <f t="shared" si="27"/>
        <v>36601.731301939042</v>
      </c>
    </row>
    <row r="437" spans="1:7" x14ac:dyDescent="0.2">
      <c r="A437" s="14">
        <v>36586</v>
      </c>
      <c r="B437" s="15">
        <v>2801</v>
      </c>
      <c r="D437">
        <f t="shared" si="25"/>
        <v>2801</v>
      </c>
      <c r="E437">
        <f t="shared" si="28"/>
        <v>16370.949413704182</v>
      </c>
      <c r="F437">
        <f t="shared" si="26"/>
        <v>184143527.09049046</v>
      </c>
      <c r="G437">
        <f t="shared" si="27"/>
        <v>650145.15235457057</v>
      </c>
    </row>
    <row r="438" spans="1:7" x14ac:dyDescent="0.2">
      <c r="A438" s="14">
        <v>36617</v>
      </c>
      <c r="B438" s="15">
        <v>3052</v>
      </c>
      <c r="D438">
        <f t="shared" si="25"/>
        <v>3052</v>
      </c>
      <c r="E438">
        <f t="shared" si="28"/>
        <v>16370.949413704182</v>
      </c>
      <c r="F438">
        <f t="shared" si="26"/>
        <v>177394413.48481098</v>
      </c>
      <c r="G438">
        <f t="shared" si="27"/>
        <v>1117916.67867036</v>
      </c>
    </row>
    <row r="439" spans="1:7" x14ac:dyDescent="0.2">
      <c r="A439" s="14">
        <v>36647</v>
      </c>
      <c r="B439" s="15">
        <v>2941</v>
      </c>
      <c r="D439">
        <f t="shared" si="25"/>
        <v>2941</v>
      </c>
      <c r="E439">
        <f t="shared" si="28"/>
        <v>16370.949413704182</v>
      </c>
      <c r="F439">
        <f t="shared" si="26"/>
        <v>180363541.2546533</v>
      </c>
      <c r="G439">
        <f t="shared" si="27"/>
        <v>895513.57340720214</v>
      </c>
    </row>
    <row r="440" spans="1:7" x14ac:dyDescent="0.2">
      <c r="A440" s="14">
        <v>36678</v>
      </c>
      <c r="B440" s="15">
        <v>2900</v>
      </c>
      <c r="D440">
        <f t="shared" si="25"/>
        <v>2900</v>
      </c>
      <c r="E440">
        <f t="shared" si="28"/>
        <v>16370.949413704182</v>
      </c>
      <c r="F440">
        <f t="shared" si="26"/>
        <v>181466478.10657704</v>
      </c>
      <c r="G440">
        <f t="shared" si="27"/>
        <v>819596.67867036001</v>
      </c>
    </row>
    <row r="441" spans="1:7" x14ac:dyDescent="0.2">
      <c r="A441" s="14">
        <v>36708</v>
      </c>
      <c r="B441" s="15">
        <v>2575</v>
      </c>
      <c r="D441">
        <f t="shared" si="25"/>
        <v>2575</v>
      </c>
      <c r="E441">
        <f t="shared" si="28"/>
        <v>16370.949413704182</v>
      </c>
      <c r="F441">
        <f t="shared" si="26"/>
        <v>190328220.22548476</v>
      </c>
      <c r="G441">
        <f t="shared" si="27"/>
        <v>336766.41551246529</v>
      </c>
    </row>
    <row r="442" spans="1:7" x14ac:dyDescent="0.2">
      <c r="A442" s="14">
        <v>36739</v>
      </c>
      <c r="B442" s="15">
        <v>2713</v>
      </c>
      <c r="D442">
        <f t="shared" si="25"/>
        <v>2713</v>
      </c>
      <c r="E442">
        <f t="shared" si="28"/>
        <v>16370.949413704182</v>
      </c>
      <c r="F442">
        <f t="shared" si="26"/>
        <v>186539582.18730241</v>
      </c>
      <c r="G442">
        <f t="shared" si="27"/>
        <v>515977.57340720214</v>
      </c>
    </row>
    <row r="443" spans="1:7" x14ac:dyDescent="0.2">
      <c r="A443" s="14">
        <v>36770</v>
      </c>
      <c r="B443" s="15">
        <v>2814</v>
      </c>
      <c r="D443">
        <f t="shared" si="25"/>
        <v>2814</v>
      </c>
      <c r="E443">
        <f t="shared" si="28"/>
        <v>16370.949413704182</v>
      </c>
      <c r="F443">
        <f t="shared" si="26"/>
        <v>183790877.40573415</v>
      </c>
      <c r="G443">
        <f t="shared" si="27"/>
        <v>671278.3628808863</v>
      </c>
    </row>
    <row r="444" spans="1:7" x14ac:dyDescent="0.2">
      <c r="A444" s="14">
        <v>36800</v>
      </c>
      <c r="B444" s="15">
        <v>2787</v>
      </c>
      <c r="D444">
        <f t="shared" si="25"/>
        <v>2787</v>
      </c>
      <c r="E444">
        <f t="shared" si="28"/>
        <v>16370.949413704182</v>
      </c>
      <c r="F444">
        <f t="shared" si="26"/>
        <v>184523681.6740742</v>
      </c>
      <c r="G444">
        <f t="shared" si="27"/>
        <v>627764.31024930743</v>
      </c>
    </row>
    <row r="445" spans="1:7" x14ac:dyDescent="0.2">
      <c r="A445" s="14">
        <v>36831</v>
      </c>
      <c r="B445" s="15">
        <v>2614</v>
      </c>
      <c r="D445">
        <f t="shared" si="25"/>
        <v>2614</v>
      </c>
      <c r="E445">
        <f t="shared" si="28"/>
        <v>16370.949413704182</v>
      </c>
      <c r="F445">
        <f t="shared" si="26"/>
        <v>189253657.17121583</v>
      </c>
      <c r="G445">
        <f t="shared" si="27"/>
        <v>383552.04709141271</v>
      </c>
    </row>
    <row r="446" spans="1:7" x14ac:dyDescent="0.2">
      <c r="A446" s="14">
        <v>36861</v>
      </c>
      <c r="B446" s="15">
        <v>2431</v>
      </c>
      <c r="D446">
        <f t="shared" si="25"/>
        <v>2431</v>
      </c>
      <c r="E446">
        <f t="shared" si="28"/>
        <v>16370.949413704182</v>
      </c>
      <c r="F446">
        <f t="shared" si="26"/>
        <v>194322189.65663156</v>
      </c>
      <c r="G446">
        <f t="shared" si="27"/>
        <v>190371.46814404428</v>
      </c>
    </row>
    <row r="447" spans="1:7" x14ac:dyDescent="0.2">
      <c r="A447" s="14">
        <v>36892</v>
      </c>
      <c r="B447" s="15">
        <v>2212</v>
      </c>
      <c r="D447">
        <f t="shared" si="25"/>
        <v>2212</v>
      </c>
      <c r="E447">
        <f t="shared" si="28"/>
        <v>16370.949413704182</v>
      </c>
      <c r="F447">
        <f t="shared" si="26"/>
        <v>200475848.499834</v>
      </c>
      <c r="G447">
        <f t="shared" si="27"/>
        <v>47226.152354570615</v>
      </c>
    </row>
    <row r="448" spans="1:7" x14ac:dyDescent="0.2">
      <c r="A448" s="14">
        <v>36923</v>
      </c>
      <c r="B448" s="15">
        <v>2132</v>
      </c>
      <c r="D448">
        <f t="shared" si="25"/>
        <v>2132</v>
      </c>
      <c r="E448">
        <f t="shared" si="28"/>
        <v>16370.949413704182</v>
      </c>
      <c r="F448">
        <f t="shared" si="26"/>
        <v>202747680.40602666</v>
      </c>
      <c r="G448">
        <f t="shared" si="27"/>
        <v>18855.626038781149</v>
      </c>
    </row>
    <row r="449" spans="1:7" x14ac:dyDescent="0.2">
      <c r="A449" s="14">
        <v>36951</v>
      </c>
      <c r="B449" s="15">
        <v>2420</v>
      </c>
      <c r="D449">
        <f t="shared" si="25"/>
        <v>2420</v>
      </c>
      <c r="E449">
        <f t="shared" si="28"/>
        <v>16370.949413704182</v>
      </c>
      <c r="F449">
        <f t="shared" si="26"/>
        <v>194628989.54373306</v>
      </c>
      <c r="G449">
        <f t="shared" si="27"/>
        <v>180893.52077562324</v>
      </c>
    </row>
    <row r="450" spans="1:7" x14ac:dyDescent="0.2">
      <c r="A450" s="14">
        <v>36982</v>
      </c>
      <c r="B450" s="15">
        <v>2320</v>
      </c>
      <c r="D450">
        <f t="shared" si="25"/>
        <v>2320</v>
      </c>
      <c r="E450">
        <f t="shared" si="28"/>
        <v>16370.949413704182</v>
      </c>
      <c r="F450">
        <f t="shared" si="26"/>
        <v>197429179.42647389</v>
      </c>
      <c r="G450">
        <f t="shared" si="27"/>
        <v>105830.3628808864</v>
      </c>
    </row>
    <row r="451" spans="1:7" x14ac:dyDescent="0.2">
      <c r="A451" s="14">
        <v>37012</v>
      </c>
      <c r="B451" s="15">
        <v>2355</v>
      </c>
      <c r="D451">
        <f t="shared" si="25"/>
        <v>2355</v>
      </c>
      <c r="E451">
        <f t="shared" si="28"/>
        <v>16370.949413704182</v>
      </c>
      <c r="F451">
        <f t="shared" si="26"/>
        <v>196446837.9675146</v>
      </c>
      <c r="G451">
        <f t="shared" si="27"/>
        <v>129827.46814404428</v>
      </c>
    </row>
    <row r="452" spans="1:7" x14ac:dyDescent="0.2">
      <c r="A452" s="14">
        <v>37043</v>
      </c>
      <c r="B452" s="15">
        <v>1108</v>
      </c>
      <c r="D452">
        <f t="shared" si="25"/>
        <v>1108</v>
      </c>
      <c r="E452">
        <f t="shared" si="28"/>
        <v>16370.949413704182</v>
      </c>
      <c r="F452">
        <f t="shared" si="26"/>
        <v>232957624.80529284</v>
      </c>
      <c r="G452">
        <f t="shared" si="27"/>
        <v>786208.88919667597</v>
      </c>
    </row>
    <row r="453" spans="1:7" x14ac:dyDescent="0.2">
      <c r="A453" s="14">
        <v>37073</v>
      </c>
      <c r="B453" s="15">
        <v>2522</v>
      </c>
      <c r="D453">
        <f t="shared" si="25"/>
        <v>2522</v>
      </c>
      <c r="E453">
        <f t="shared" si="28"/>
        <v>16370.949413704182</v>
      </c>
      <c r="F453">
        <f t="shared" si="26"/>
        <v>191793399.8633374</v>
      </c>
      <c r="G453">
        <f t="shared" si="27"/>
        <v>278061.94182825478</v>
      </c>
    </row>
    <row r="454" spans="1:7" x14ac:dyDescent="0.2">
      <c r="A454" s="14">
        <v>37104</v>
      </c>
      <c r="B454" s="15">
        <v>2398</v>
      </c>
      <c r="D454">
        <f t="shared" si="25"/>
        <v>2398</v>
      </c>
      <c r="E454">
        <f t="shared" si="28"/>
        <v>16370.949413704182</v>
      </c>
      <c r="F454">
        <f t="shared" si="26"/>
        <v>195243315.31793603</v>
      </c>
      <c r="G454">
        <f t="shared" si="27"/>
        <v>162663.62603878113</v>
      </c>
    </row>
    <row r="455" spans="1:7" x14ac:dyDescent="0.2">
      <c r="A455" s="14">
        <v>37135</v>
      </c>
      <c r="B455" s="15">
        <v>1799</v>
      </c>
      <c r="D455">
        <f t="shared" si="25"/>
        <v>1799</v>
      </c>
      <c r="E455">
        <f t="shared" si="28"/>
        <v>16370.949413704182</v>
      </c>
      <c r="F455">
        <f t="shared" si="26"/>
        <v>212341709.71555364</v>
      </c>
      <c r="G455">
        <f t="shared" si="27"/>
        <v>38292.310249307498</v>
      </c>
    </row>
    <row r="456" spans="1:7" x14ac:dyDescent="0.2">
      <c r="A456" s="14">
        <v>37165</v>
      </c>
      <c r="B456" s="15">
        <v>2609</v>
      </c>
      <c r="D456">
        <f t="shared" si="25"/>
        <v>2609</v>
      </c>
      <c r="E456">
        <f t="shared" si="28"/>
        <v>16370.949413704182</v>
      </c>
      <c r="F456">
        <f t="shared" si="26"/>
        <v>189391251.66535288</v>
      </c>
      <c r="G456">
        <f t="shared" si="27"/>
        <v>377383.88919667585</v>
      </c>
    </row>
    <row r="457" spans="1:7" x14ac:dyDescent="0.2">
      <c r="A457" s="14">
        <v>37196</v>
      </c>
      <c r="B457" s="15">
        <v>2013</v>
      </c>
      <c r="D457">
        <f t="shared" si="25"/>
        <v>2013</v>
      </c>
      <c r="E457">
        <f t="shared" si="28"/>
        <v>16370.949413704182</v>
      </c>
      <c r="F457">
        <f t="shared" si="26"/>
        <v>206150711.36648828</v>
      </c>
      <c r="G457">
        <f t="shared" si="27"/>
        <v>335.46814404431956</v>
      </c>
    </row>
    <row r="458" spans="1:7" x14ac:dyDescent="0.2">
      <c r="A458" s="14">
        <v>37226</v>
      </c>
      <c r="B458" s="15">
        <v>2437</v>
      </c>
      <c r="D458">
        <f t="shared" si="25"/>
        <v>2437</v>
      </c>
      <c r="E458">
        <f t="shared" si="28"/>
        <v>16370.949413704182</v>
      </c>
      <c r="F458">
        <f t="shared" si="26"/>
        <v>194154946.26366711</v>
      </c>
      <c r="G458">
        <f t="shared" si="27"/>
        <v>195643.25761772849</v>
      </c>
    </row>
    <row r="459" spans="1:7" x14ac:dyDescent="0.2">
      <c r="A459" s="14">
        <v>37257</v>
      </c>
      <c r="B459" s="15">
        <v>2177</v>
      </c>
      <c r="D459">
        <f t="shared" si="25"/>
        <v>2177</v>
      </c>
      <c r="E459">
        <f t="shared" si="28"/>
        <v>16370.949413704182</v>
      </c>
      <c r="F459">
        <f t="shared" si="26"/>
        <v>201468199.95879328</v>
      </c>
      <c r="G459">
        <f t="shared" si="27"/>
        <v>33239.047091412722</v>
      </c>
    </row>
    <row r="460" spans="1:7" x14ac:dyDescent="0.2">
      <c r="A460" s="14">
        <v>37288</v>
      </c>
      <c r="B460" s="15">
        <v>1921</v>
      </c>
      <c r="D460">
        <f t="shared" si="25"/>
        <v>1921</v>
      </c>
      <c r="E460">
        <f t="shared" si="28"/>
        <v>16370.949413704182</v>
      </c>
      <c r="F460">
        <f t="shared" si="26"/>
        <v>208801038.05860984</v>
      </c>
      <c r="G460">
        <f t="shared" si="27"/>
        <v>5429.3628808864332</v>
      </c>
    </row>
    <row r="461" spans="1:7" x14ac:dyDescent="0.2">
      <c r="A461" s="14">
        <v>37316</v>
      </c>
      <c r="B461" s="15">
        <v>2102</v>
      </c>
      <c r="D461">
        <f t="shared" ref="D461:D524" si="29">B461</f>
        <v>2102</v>
      </c>
      <c r="E461">
        <f t="shared" si="28"/>
        <v>16370.949413704182</v>
      </c>
      <c r="F461">
        <f t="shared" ref="F461:F524" si="30">(D461-E461)^2</f>
        <v>203602917.37084892</v>
      </c>
      <c r="G461">
        <f t="shared" ref="G461:G524" si="31">(D461-$G$5)^2</f>
        <v>11516.678670360101</v>
      </c>
    </row>
    <row r="462" spans="1:7" x14ac:dyDescent="0.2">
      <c r="A462" s="14">
        <v>37347</v>
      </c>
      <c r="B462" s="15">
        <v>2129</v>
      </c>
      <c r="D462">
        <f t="shared" si="29"/>
        <v>2129</v>
      </c>
      <c r="E462">
        <f t="shared" si="28"/>
        <v>16370.949413704182</v>
      </c>
      <c r="F462">
        <f t="shared" si="30"/>
        <v>202833123.1025089</v>
      </c>
      <c r="G462">
        <f t="shared" si="31"/>
        <v>18040.731301939046</v>
      </c>
    </row>
    <row r="463" spans="1:7" x14ac:dyDescent="0.2">
      <c r="A463" s="14">
        <v>37377</v>
      </c>
      <c r="B463" s="15">
        <v>2200</v>
      </c>
      <c r="D463">
        <f t="shared" si="29"/>
        <v>2200</v>
      </c>
      <c r="E463">
        <f t="shared" si="28"/>
        <v>16370.949413704182</v>
      </c>
      <c r="F463">
        <f t="shared" si="30"/>
        <v>200815807.28576291</v>
      </c>
      <c r="G463">
        <f t="shared" si="31"/>
        <v>42154.573407202195</v>
      </c>
    </row>
    <row r="464" spans="1:7" x14ac:dyDescent="0.2">
      <c r="A464" s="14">
        <v>37408</v>
      </c>
      <c r="B464" s="15">
        <v>1950</v>
      </c>
      <c r="D464">
        <f t="shared" si="29"/>
        <v>1950</v>
      </c>
      <c r="E464">
        <f t="shared" si="28"/>
        <v>16370.949413704182</v>
      </c>
      <c r="F464">
        <f t="shared" si="30"/>
        <v>207963781.99261498</v>
      </c>
      <c r="G464">
        <f t="shared" si="31"/>
        <v>1996.6786703601151</v>
      </c>
    </row>
    <row r="465" spans="1:7" x14ac:dyDescent="0.2">
      <c r="A465" s="14">
        <v>37438</v>
      </c>
      <c r="B465" s="15">
        <v>2100</v>
      </c>
      <c r="D465">
        <f t="shared" si="29"/>
        <v>2100</v>
      </c>
      <c r="E465">
        <f t="shared" si="28"/>
        <v>16370.949413704182</v>
      </c>
      <c r="F465">
        <f t="shared" si="30"/>
        <v>203659997.16850373</v>
      </c>
      <c r="G465">
        <f t="shared" si="31"/>
        <v>11091.415512465364</v>
      </c>
    </row>
    <row r="466" spans="1:7" x14ac:dyDescent="0.2">
      <c r="A466" s="14">
        <v>37469</v>
      </c>
      <c r="B466" s="15">
        <v>2134</v>
      </c>
      <c r="D466">
        <f t="shared" si="29"/>
        <v>2134</v>
      </c>
      <c r="E466">
        <f t="shared" si="28"/>
        <v>16370.949413704182</v>
      </c>
      <c r="F466">
        <f t="shared" si="30"/>
        <v>202690728.60837185</v>
      </c>
      <c r="G466">
        <f t="shared" si="31"/>
        <v>19408.889196675886</v>
      </c>
    </row>
    <row r="467" spans="1:7" x14ac:dyDescent="0.2">
      <c r="A467" s="14">
        <v>37500</v>
      </c>
      <c r="B467" s="15">
        <v>2002</v>
      </c>
      <c r="D467">
        <f t="shared" si="29"/>
        <v>2002</v>
      </c>
      <c r="E467">
        <f t="shared" si="28"/>
        <v>16370.949413704182</v>
      </c>
      <c r="F467">
        <f t="shared" si="30"/>
        <v>206466707.25358975</v>
      </c>
      <c r="G467">
        <f t="shared" si="31"/>
        <v>53.520775623268001</v>
      </c>
    </row>
    <row r="468" spans="1:7" x14ac:dyDescent="0.2">
      <c r="A468" s="14">
        <v>37530</v>
      </c>
      <c r="B468" s="15">
        <v>1801</v>
      </c>
      <c r="D468">
        <f t="shared" si="29"/>
        <v>1801</v>
      </c>
      <c r="E468">
        <f t="shared" si="28"/>
        <v>16370.949413704182</v>
      </c>
      <c r="F468">
        <f t="shared" si="30"/>
        <v>212283425.91789883</v>
      </c>
      <c r="G468">
        <f t="shared" si="31"/>
        <v>37513.573407202231</v>
      </c>
    </row>
    <row r="469" spans="1:7" x14ac:dyDescent="0.2">
      <c r="A469" s="14">
        <v>37561</v>
      </c>
      <c r="B469" s="15">
        <v>2135</v>
      </c>
      <c r="D469">
        <f t="shared" si="29"/>
        <v>2135</v>
      </c>
      <c r="E469">
        <f t="shared" si="28"/>
        <v>16370.949413704182</v>
      </c>
      <c r="F469">
        <f t="shared" si="30"/>
        <v>202662255.70954445</v>
      </c>
      <c r="G469">
        <f t="shared" si="31"/>
        <v>19688.520775623256</v>
      </c>
    </row>
    <row r="470" spans="1:7" x14ac:dyDescent="0.2">
      <c r="A470" s="14">
        <v>37591</v>
      </c>
      <c r="B470" s="15">
        <v>2021</v>
      </c>
      <c r="D470">
        <f t="shared" si="29"/>
        <v>2021</v>
      </c>
      <c r="E470">
        <f t="shared" si="28"/>
        <v>16370.949413704182</v>
      </c>
      <c r="F470">
        <f t="shared" si="30"/>
        <v>205921048.17586899</v>
      </c>
      <c r="G470">
        <f t="shared" si="31"/>
        <v>692.52077562326622</v>
      </c>
    </row>
    <row r="471" spans="1:7" x14ac:dyDescent="0.2">
      <c r="A471" s="14">
        <v>37622</v>
      </c>
      <c r="B471" s="15">
        <v>2104</v>
      </c>
      <c r="D471">
        <f t="shared" si="29"/>
        <v>2104</v>
      </c>
      <c r="E471">
        <f t="shared" si="28"/>
        <v>16370.949413704182</v>
      </c>
      <c r="F471">
        <f t="shared" si="30"/>
        <v>203545845.57319412</v>
      </c>
      <c r="G471">
        <f t="shared" si="31"/>
        <v>11949.941828254838</v>
      </c>
    </row>
    <row r="472" spans="1:7" x14ac:dyDescent="0.2">
      <c r="A472" s="14">
        <v>37653</v>
      </c>
      <c r="B472" s="15">
        <v>1914</v>
      </c>
      <c r="D472">
        <f t="shared" si="29"/>
        <v>1914</v>
      </c>
      <c r="E472">
        <f t="shared" si="28"/>
        <v>16370.949413704182</v>
      </c>
      <c r="F472">
        <f t="shared" si="30"/>
        <v>209003386.3504017</v>
      </c>
      <c r="G472">
        <f t="shared" si="31"/>
        <v>6509.941828254855</v>
      </c>
    </row>
    <row r="473" spans="1:7" x14ac:dyDescent="0.2">
      <c r="A473" s="14">
        <v>37681</v>
      </c>
      <c r="B473" s="15">
        <v>2034</v>
      </c>
      <c r="D473">
        <f t="shared" si="29"/>
        <v>2034</v>
      </c>
      <c r="E473">
        <f t="shared" si="28"/>
        <v>16370.949413704182</v>
      </c>
      <c r="F473">
        <f t="shared" si="30"/>
        <v>205548118.49111268</v>
      </c>
      <c r="G473">
        <f t="shared" si="31"/>
        <v>1545.7313019390544</v>
      </c>
    </row>
    <row r="474" spans="1:7" x14ac:dyDescent="0.2">
      <c r="A474" s="14">
        <v>37712</v>
      </c>
      <c r="B474" s="15">
        <v>1979</v>
      </c>
      <c r="D474">
        <f t="shared" si="29"/>
        <v>1979</v>
      </c>
      <c r="E474">
        <f t="shared" si="28"/>
        <v>16370.949413704182</v>
      </c>
      <c r="F474">
        <f t="shared" si="30"/>
        <v>207128207.92662016</v>
      </c>
      <c r="G474">
        <f t="shared" si="31"/>
        <v>245.99445983379653</v>
      </c>
    </row>
    <row r="475" spans="1:7" x14ac:dyDescent="0.2">
      <c r="A475" s="14">
        <v>37742</v>
      </c>
      <c r="B475" s="15">
        <v>2098</v>
      </c>
      <c r="D475">
        <f t="shared" si="29"/>
        <v>2098</v>
      </c>
      <c r="E475">
        <f t="shared" si="28"/>
        <v>16370.949413704182</v>
      </c>
      <c r="F475">
        <f t="shared" si="30"/>
        <v>203717084.96615854</v>
      </c>
      <c r="G475">
        <f t="shared" si="31"/>
        <v>10674.152354570628</v>
      </c>
    </row>
    <row r="476" spans="1:7" x14ac:dyDescent="0.2">
      <c r="A476" s="14">
        <v>37773</v>
      </c>
      <c r="B476" s="15">
        <v>1907</v>
      </c>
      <c r="D476">
        <f t="shared" si="29"/>
        <v>1907</v>
      </c>
      <c r="E476">
        <f t="shared" si="28"/>
        <v>16370.949413704182</v>
      </c>
      <c r="F476">
        <f t="shared" si="30"/>
        <v>209205832.64219356</v>
      </c>
      <c r="G476">
        <f t="shared" si="31"/>
        <v>7688.5207756232767</v>
      </c>
    </row>
    <row r="477" spans="1:7" x14ac:dyDescent="0.2">
      <c r="A477" s="14">
        <v>37803</v>
      </c>
      <c r="B477" s="15">
        <v>1895</v>
      </c>
      <c r="D477">
        <f t="shared" si="29"/>
        <v>1895</v>
      </c>
      <c r="E477">
        <f t="shared" si="28"/>
        <v>16370.949413704182</v>
      </c>
      <c r="F477">
        <f t="shared" si="30"/>
        <v>209553111.42812246</v>
      </c>
      <c r="G477">
        <f t="shared" si="31"/>
        <v>9936.9418282548577</v>
      </c>
    </row>
    <row r="478" spans="1:7" x14ac:dyDescent="0.2">
      <c r="A478" s="14">
        <v>37834</v>
      </c>
      <c r="B478" s="15">
        <v>2014</v>
      </c>
      <c r="D478">
        <f t="shared" si="29"/>
        <v>2014</v>
      </c>
      <c r="E478">
        <f t="shared" si="28"/>
        <v>16370.949413704182</v>
      </c>
      <c r="F478">
        <f t="shared" si="30"/>
        <v>206121996.46766084</v>
      </c>
      <c r="G478">
        <f t="shared" si="31"/>
        <v>373.09972299168788</v>
      </c>
    </row>
    <row r="479" spans="1:7" x14ac:dyDescent="0.2">
      <c r="A479" s="14">
        <v>37865</v>
      </c>
      <c r="B479" s="15">
        <v>1618</v>
      </c>
      <c r="D479">
        <f t="shared" si="29"/>
        <v>1618</v>
      </c>
      <c r="E479">
        <f t="shared" si="28"/>
        <v>16370.949413704182</v>
      </c>
      <c r="F479">
        <f t="shared" si="30"/>
        <v>217649516.40331456</v>
      </c>
      <c r="G479">
        <f t="shared" si="31"/>
        <v>141890.99445983383</v>
      </c>
    </row>
    <row r="480" spans="1:7" x14ac:dyDescent="0.2">
      <c r="A480" s="14">
        <v>37895</v>
      </c>
      <c r="B480" s="15">
        <v>1937</v>
      </c>
      <c r="D480">
        <f t="shared" si="29"/>
        <v>1937</v>
      </c>
      <c r="E480">
        <f t="shared" si="28"/>
        <v>16370.949413704182</v>
      </c>
      <c r="F480">
        <f t="shared" si="30"/>
        <v>208338895.67737129</v>
      </c>
      <c r="G480">
        <f t="shared" si="31"/>
        <v>3327.4681440443269</v>
      </c>
    </row>
    <row r="481" spans="1:7" x14ac:dyDescent="0.2">
      <c r="A481" s="14">
        <v>37926</v>
      </c>
      <c r="B481" s="15">
        <v>1736</v>
      </c>
      <c r="D481">
        <f t="shared" si="29"/>
        <v>1736</v>
      </c>
      <c r="E481">
        <f t="shared" si="28"/>
        <v>16370.949413704182</v>
      </c>
      <c r="F481">
        <f t="shared" si="30"/>
        <v>214181744.34168038</v>
      </c>
      <c r="G481">
        <f t="shared" si="31"/>
        <v>66917.520775623299</v>
      </c>
    </row>
    <row r="482" spans="1:7" x14ac:dyDescent="0.2">
      <c r="A482" s="14">
        <v>37956</v>
      </c>
      <c r="B482" s="15">
        <v>1851</v>
      </c>
      <c r="D482">
        <f t="shared" si="29"/>
        <v>1851</v>
      </c>
      <c r="E482">
        <f t="shared" si="28"/>
        <v>16370.949413704182</v>
      </c>
      <c r="F482">
        <f t="shared" si="30"/>
        <v>210828930.97652841</v>
      </c>
      <c r="G482">
        <f t="shared" si="31"/>
        <v>20645.152354570651</v>
      </c>
    </row>
    <row r="483" spans="1:7" x14ac:dyDescent="0.2">
      <c r="A483" s="14">
        <v>37987</v>
      </c>
      <c r="B483" s="15">
        <v>1856</v>
      </c>
      <c r="D483">
        <f t="shared" si="29"/>
        <v>1856</v>
      </c>
      <c r="E483">
        <f t="shared" si="28"/>
        <v>16370.949413704182</v>
      </c>
      <c r="F483">
        <f t="shared" si="30"/>
        <v>210683756.48239139</v>
      </c>
      <c r="G483">
        <f t="shared" si="31"/>
        <v>19233.310249307491</v>
      </c>
    </row>
    <row r="484" spans="1:7" x14ac:dyDescent="0.2">
      <c r="A484" s="14">
        <v>38018</v>
      </c>
      <c r="B484" s="15">
        <v>1780</v>
      </c>
      <c r="D484">
        <f t="shared" si="29"/>
        <v>1780</v>
      </c>
      <c r="E484">
        <f t="shared" si="28"/>
        <v>16370.949413704182</v>
      </c>
      <c r="F484">
        <f t="shared" si="30"/>
        <v>212895804.7932744</v>
      </c>
      <c r="G484">
        <f t="shared" si="31"/>
        <v>46089.310249307498</v>
      </c>
    </row>
    <row r="485" spans="1:7" x14ac:dyDescent="0.2">
      <c r="A485" s="14">
        <v>38047</v>
      </c>
      <c r="B485" s="18">
        <v>1591</v>
      </c>
      <c r="D485">
        <f t="shared" si="29"/>
        <v>1591</v>
      </c>
      <c r="E485">
        <f t="shared" si="28"/>
        <v>16370.949413704182</v>
      </c>
      <c r="F485">
        <f t="shared" si="30"/>
        <v>218446904.67165458</v>
      </c>
      <c r="G485">
        <f t="shared" si="31"/>
        <v>162960.94182825487</v>
      </c>
    </row>
    <row r="486" spans="1:7" x14ac:dyDescent="0.2">
      <c r="A486" s="14">
        <v>38078</v>
      </c>
      <c r="B486" s="18">
        <v>1489</v>
      </c>
      <c r="D486">
        <f t="shared" si="29"/>
        <v>1489</v>
      </c>
      <c r="E486">
        <f t="shared" si="28"/>
        <v>16370.949413704182</v>
      </c>
      <c r="F486">
        <f t="shared" si="30"/>
        <v>221472418.35205024</v>
      </c>
      <c r="G486">
        <f t="shared" si="31"/>
        <v>255716.52077562333</v>
      </c>
    </row>
    <row r="487" spans="1:7" x14ac:dyDescent="0.2">
      <c r="A487" s="14">
        <v>38108</v>
      </c>
      <c r="B487" s="18">
        <v>1807</v>
      </c>
      <c r="D487">
        <f t="shared" si="29"/>
        <v>1807</v>
      </c>
      <c r="E487">
        <f t="shared" si="28"/>
        <v>16370.949413704182</v>
      </c>
      <c r="F487">
        <f t="shared" si="30"/>
        <v>212108622.52493438</v>
      </c>
      <c r="G487">
        <f t="shared" si="31"/>
        <v>35225.362880886445</v>
      </c>
    </row>
    <row r="488" spans="1:7" x14ac:dyDescent="0.2">
      <c r="A488" s="14">
        <v>38139</v>
      </c>
      <c r="B488" s="18">
        <v>1705</v>
      </c>
      <c r="D488">
        <f t="shared" si="29"/>
        <v>1705</v>
      </c>
      <c r="E488">
        <f t="shared" si="28"/>
        <v>16370.949413704182</v>
      </c>
      <c r="F488">
        <f t="shared" si="30"/>
        <v>215090072.20533004</v>
      </c>
      <c r="G488">
        <f t="shared" si="31"/>
        <v>83916.941828254872</v>
      </c>
    </row>
    <row r="489" spans="1:7" x14ac:dyDescent="0.2">
      <c r="A489" s="14">
        <v>38169</v>
      </c>
      <c r="B489" s="18">
        <v>1651</v>
      </c>
      <c r="D489">
        <f t="shared" si="29"/>
        <v>1651</v>
      </c>
      <c r="E489">
        <f t="shared" si="28"/>
        <v>16370.949413704182</v>
      </c>
      <c r="F489">
        <f t="shared" si="30"/>
        <v>216676910.74201009</v>
      </c>
      <c r="G489">
        <f t="shared" si="31"/>
        <v>118118.83656509698</v>
      </c>
    </row>
    <row r="490" spans="1:7" x14ac:dyDescent="0.2">
      <c r="A490" s="14">
        <v>38200</v>
      </c>
      <c r="B490" s="18">
        <v>1565</v>
      </c>
      <c r="D490">
        <f t="shared" si="29"/>
        <v>1565</v>
      </c>
      <c r="E490">
        <f t="shared" si="28"/>
        <v>16370.949413704182</v>
      </c>
      <c r="F490">
        <f t="shared" si="30"/>
        <v>219216138.0411672</v>
      </c>
      <c r="G490">
        <f t="shared" si="31"/>
        <v>184628.5207756233</v>
      </c>
    </row>
    <row r="491" spans="1:7" x14ac:dyDescent="0.2">
      <c r="A491" s="14">
        <v>38231</v>
      </c>
      <c r="B491" s="18">
        <v>1591</v>
      </c>
      <c r="D491">
        <f t="shared" si="29"/>
        <v>1591</v>
      </c>
      <c r="E491">
        <f t="shared" si="28"/>
        <v>16370.949413704182</v>
      </c>
      <c r="F491">
        <f t="shared" si="30"/>
        <v>218446904.67165458</v>
      </c>
      <c r="G491">
        <f t="shared" si="31"/>
        <v>162960.94182825487</v>
      </c>
    </row>
    <row r="492" spans="1:7" x14ac:dyDescent="0.2">
      <c r="A492" s="14">
        <v>38261</v>
      </c>
      <c r="B492" s="18">
        <v>1597</v>
      </c>
      <c r="D492">
        <f t="shared" si="29"/>
        <v>1597</v>
      </c>
      <c r="E492">
        <f t="shared" ref="E492:E555" si="32">$E$5/(1+$D$5*C492)</f>
        <v>16370.949413704182</v>
      </c>
      <c r="F492">
        <f t="shared" si="30"/>
        <v>218269581.27869013</v>
      </c>
      <c r="G492">
        <f t="shared" si="31"/>
        <v>158152.73130193909</v>
      </c>
    </row>
    <row r="493" spans="1:7" x14ac:dyDescent="0.2">
      <c r="A493" s="14">
        <v>38292</v>
      </c>
      <c r="B493" s="18">
        <v>1490</v>
      </c>
      <c r="D493">
        <f t="shared" si="29"/>
        <v>1490</v>
      </c>
      <c r="E493">
        <f t="shared" si="32"/>
        <v>16370.949413704182</v>
      </c>
      <c r="F493">
        <f t="shared" si="30"/>
        <v>221442655.45322284</v>
      </c>
      <c r="G493">
        <f t="shared" si="31"/>
        <v>254706.15235457069</v>
      </c>
    </row>
    <row r="494" spans="1:7" x14ac:dyDescent="0.2">
      <c r="A494" s="14">
        <v>38322</v>
      </c>
      <c r="B494" s="18">
        <v>1610</v>
      </c>
      <c r="D494">
        <f t="shared" si="29"/>
        <v>1610</v>
      </c>
      <c r="E494">
        <f t="shared" si="32"/>
        <v>16370.949413704182</v>
      </c>
      <c r="F494">
        <f t="shared" si="30"/>
        <v>217885627.59393382</v>
      </c>
      <c r="G494">
        <f t="shared" si="31"/>
        <v>147981.94182825487</v>
      </c>
    </row>
    <row r="495" spans="1:7" x14ac:dyDescent="0.2">
      <c r="A495" s="14">
        <v>38353</v>
      </c>
      <c r="B495" s="18">
        <v>1586</v>
      </c>
      <c r="D495">
        <f t="shared" si="29"/>
        <v>1586</v>
      </c>
      <c r="E495">
        <f t="shared" si="32"/>
        <v>16370.949413704182</v>
      </c>
      <c r="F495">
        <f t="shared" si="30"/>
        <v>218594729.16579163</v>
      </c>
      <c r="G495">
        <f t="shared" si="31"/>
        <v>167022.78393351805</v>
      </c>
    </row>
    <row r="496" spans="1:7" x14ac:dyDescent="0.2">
      <c r="A496" s="14">
        <v>38384</v>
      </c>
      <c r="B496" s="18">
        <v>1468</v>
      </c>
      <c r="D496">
        <f t="shared" si="29"/>
        <v>1468</v>
      </c>
      <c r="E496">
        <f t="shared" si="32"/>
        <v>16370.949413704182</v>
      </c>
      <c r="F496">
        <f t="shared" si="30"/>
        <v>222097901.22742581</v>
      </c>
      <c r="G496">
        <f t="shared" si="31"/>
        <v>277396.25761772861</v>
      </c>
    </row>
    <row r="497" spans="1:7" x14ac:dyDescent="0.2">
      <c r="A497" s="14">
        <v>38412</v>
      </c>
      <c r="B497" s="18">
        <v>1478</v>
      </c>
      <c r="D497">
        <f t="shared" si="29"/>
        <v>1478</v>
      </c>
      <c r="E497">
        <f t="shared" si="32"/>
        <v>16370.949413704182</v>
      </c>
      <c r="F497">
        <f t="shared" si="30"/>
        <v>221799942.23915175</v>
      </c>
      <c r="G497">
        <f t="shared" si="31"/>
        <v>266962.57340720226</v>
      </c>
    </row>
    <row r="498" spans="1:7" x14ac:dyDescent="0.2">
      <c r="A498" s="14">
        <v>38443</v>
      </c>
      <c r="B498" s="18">
        <v>1476</v>
      </c>
      <c r="D498">
        <f t="shared" si="29"/>
        <v>1476</v>
      </c>
      <c r="E498">
        <f t="shared" si="32"/>
        <v>16370.949413704182</v>
      </c>
      <c r="F498">
        <f t="shared" si="30"/>
        <v>221859518.03680655</v>
      </c>
      <c r="G498">
        <f t="shared" si="31"/>
        <v>269033.31024930754</v>
      </c>
    </row>
    <row r="499" spans="1:7" x14ac:dyDescent="0.2">
      <c r="A499" s="14">
        <v>38473</v>
      </c>
      <c r="B499" s="18">
        <v>1499</v>
      </c>
      <c r="D499">
        <f t="shared" si="29"/>
        <v>1499</v>
      </c>
      <c r="E499">
        <f t="shared" si="32"/>
        <v>16370.949413704182</v>
      </c>
      <c r="F499">
        <f t="shared" si="30"/>
        <v>221174879.36377618</v>
      </c>
      <c r="G499">
        <f t="shared" si="31"/>
        <v>245702.83656509701</v>
      </c>
    </row>
    <row r="500" spans="1:7" x14ac:dyDescent="0.2">
      <c r="A500" s="14">
        <v>38504</v>
      </c>
      <c r="B500" s="18">
        <v>1445</v>
      </c>
      <c r="D500">
        <f t="shared" si="29"/>
        <v>1445</v>
      </c>
      <c r="E500">
        <f t="shared" si="32"/>
        <v>16370.949413704182</v>
      </c>
      <c r="F500">
        <f t="shared" si="30"/>
        <v>222783965.90045622</v>
      </c>
      <c r="G500">
        <f t="shared" si="31"/>
        <v>302152.73130193911</v>
      </c>
    </row>
    <row r="501" spans="1:7" x14ac:dyDescent="0.2">
      <c r="A501" s="14">
        <v>38534</v>
      </c>
      <c r="B501" s="18">
        <v>1530</v>
      </c>
      <c r="D501">
        <f t="shared" si="29"/>
        <v>1530</v>
      </c>
      <c r="E501">
        <f t="shared" si="32"/>
        <v>16370.949413704182</v>
      </c>
      <c r="F501">
        <f t="shared" si="30"/>
        <v>220253779.50012651</v>
      </c>
      <c r="G501">
        <f t="shared" si="31"/>
        <v>215931.41551246541</v>
      </c>
    </row>
    <row r="502" spans="1:7" x14ac:dyDescent="0.2">
      <c r="A502" s="14">
        <v>38565</v>
      </c>
      <c r="B502" s="18">
        <v>1414</v>
      </c>
      <c r="D502">
        <f t="shared" si="29"/>
        <v>1414</v>
      </c>
      <c r="E502">
        <f t="shared" si="32"/>
        <v>16370.949413704182</v>
      </c>
      <c r="F502">
        <f t="shared" si="30"/>
        <v>223710335.76410589</v>
      </c>
      <c r="G502">
        <f t="shared" si="31"/>
        <v>337194.15235457069</v>
      </c>
    </row>
    <row r="503" spans="1:7" x14ac:dyDescent="0.2">
      <c r="A503" s="14">
        <v>38596</v>
      </c>
      <c r="B503" s="18">
        <v>1119</v>
      </c>
      <c r="D503">
        <f t="shared" si="29"/>
        <v>1119</v>
      </c>
      <c r="E503">
        <f t="shared" si="32"/>
        <v>16370.949413704182</v>
      </c>
      <c r="F503">
        <f t="shared" si="30"/>
        <v>232621960.91819134</v>
      </c>
      <c r="G503">
        <f t="shared" si="31"/>
        <v>766822.83656509698</v>
      </c>
    </row>
    <row r="504" spans="1:7" x14ac:dyDescent="0.2">
      <c r="A504" s="14">
        <v>38626</v>
      </c>
      <c r="B504" s="18">
        <v>1036</v>
      </c>
      <c r="D504">
        <f t="shared" si="29"/>
        <v>1036</v>
      </c>
      <c r="E504">
        <f t="shared" si="32"/>
        <v>16370.949413704182</v>
      </c>
      <c r="F504">
        <f t="shared" si="30"/>
        <v>235160673.52086625</v>
      </c>
      <c r="G504">
        <f t="shared" si="31"/>
        <v>919075.41551246552</v>
      </c>
    </row>
    <row r="505" spans="1:7" x14ac:dyDescent="0.2">
      <c r="A505" s="14">
        <v>38657</v>
      </c>
      <c r="B505" s="18">
        <v>1298</v>
      </c>
      <c r="D505">
        <f t="shared" si="29"/>
        <v>1298</v>
      </c>
      <c r="E505">
        <f t="shared" si="32"/>
        <v>16370.949413704182</v>
      </c>
      <c r="F505">
        <f t="shared" si="30"/>
        <v>227193804.02808523</v>
      </c>
      <c r="G505">
        <f t="shared" si="31"/>
        <v>485368.88919667597</v>
      </c>
    </row>
    <row r="506" spans="1:7" x14ac:dyDescent="0.2">
      <c r="A506" s="14">
        <v>38687</v>
      </c>
      <c r="B506" s="18">
        <v>1465</v>
      </c>
      <c r="D506">
        <f t="shared" si="29"/>
        <v>1465</v>
      </c>
      <c r="E506">
        <f t="shared" si="32"/>
        <v>16370.949413704182</v>
      </c>
      <c r="F506">
        <f t="shared" si="30"/>
        <v>222187327.92390805</v>
      </c>
      <c r="G506">
        <f t="shared" si="31"/>
        <v>280565.36288088647</v>
      </c>
    </row>
    <row r="507" spans="1:7" x14ac:dyDescent="0.2">
      <c r="A507" s="14">
        <v>38718</v>
      </c>
      <c r="B507" s="18">
        <v>1562</v>
      </c>
      <c r="D507">
        <f t="shared" si="29"/>
        <v>1562</v>
      </c>
      <c r="E507">
        <f t="shared" si="32"/>
        <v>16370.949413704182</v>
      </c>
      <c r="F507">
        <f t="shared" si="30"/>
        <v>219304982.73764944</v>
      </c>
      <c r="G507">
        <f t="shared" si="31"/>
        <v>187215.62603878119</v>
      </c>
    </row>
    <row r="508" spans="1:7" x14ac:dyDescent="0.2">
      <c r="A508" s="14">
        <v>38749</v>
      </c>
      <c r="B508" s="18">
        <v>1463</v>
      </c>
      <c r="D508">
        <f t="shared" si="29"/>
        <v>1463</v>
      </c>
      <c r="E508">
        <f t="shared" si="32"/>
        <v>16370.949413704182</v>
      </c>
      <c r="F508">
        <f t="shared" si="30"/>
        <v>222246955.72156286</v>
      </c>
      <c r="G508">
        <f t="shared" si="31"/>
        <v>282688.09972299176</v>
      </c>
    </row>
    <row r="509" spans="1:7" x14ac:dyDescent="0.2">
      <c r="A509" s="14">
        <v>38777</v>
      </c>
      <c r="B509" s="18">
        <v>1471</v>
      </c>
      <c r="D509">
        <f t="shared" si="29"/>
        <v>1471</v>
      </c>
      <c r="E509">
        <f t="shared" si="32"/>
        <v>16370.949413704182</v>
      </c>
      <c r="F509">
        <f t="shared" si="30"/>
        <v>222008492.5309436</v>
      </c>
      <c r="G509">
        <f t="shared" si="31"/>
        <v>274245.15235457069</v>
      </c>
    </row>
    <row r="510" spans="1:7" x14ac:dyDescent="0.2">
      <c r="A510" s="14">
        <v>38808</v>
      </c>
      <c r="B510" s="18">
        <v>1496</v>
      </c>
      <c r="D510">
        <f t="shared" si="29"/>
        <v>1496</v>
      </c>
      <c r="E510">
        <f t="shared" si="32"/>
        <v>16370.949413704182</v>
      </c>
      <c r="F510">
        <f t="shared" si="30"/>
        <v>221264120.06025839</v>
      </c>
      <c r="G510">
        <f t="shared" si="31"/>
        <v>248685.9418282549</v>
      </c>
    </row>
    <row r="511" spans="1:7" x14ac:dyDescent="0.2">
      <c r="A511" s="14">
        <v>38838</v>
      </c>
      <c r="B511" s="18">
        <v>1364</v>
      </c>
      <c r="D511">
        <f t="shared" si="29"/>
        <v>1364</v>
      </c>
      <c r="E511">
        <f t="shared" si="32"/>
        <v>16370.949413704182</v>
      </c>
      <c r="F511">
        <f t="shared" si="30"/>
        <v>225208530.70547628</v>
      </c>
      <c r="G511">
        <f t="shared" si="31"/>
        <v>397762.57340720226</v>
      </c>
    </row>
    <row r="512" spans="1:7" x14ac:dyDescent="0.2">
      <c r="A512" s="14">
        <v>38869</v>
      </c>
      <c r="B512" s="18">
        <v>1243</v>
      </c>
      <c r="D512">
        <f t="shared" si="29"/>
        <v>1243</v>
      </c>
      <c r="E512">
        <f t="shared" si="32"/>
        <v>16370.949413704182</v>
      </c>
      <c r="F512">
        <f t="shared" si="30"/>
        <v>228854853.46359271</v>
      </c>
      <c r="G512">
        <f t="shared" si="31"/>
        <v>565029.15235457069</v>
      </c>
    </row>
    <row r="513" spans="1:7" x14ac:dyDescent="0.2">
      <c r="A513" s="14">
        <v>38899</v>
      </c>
      <c r="B513" s="18">
        <v>1495</v>
      </c>
      <c r="D513">
        <f t="shared" si="29"/>
        <v>1495</v>
      </c>
      <c r="E513">
        <f t="shared" si="32"/>
        <v>16370.949413704182</v>
      </c>
      <c r="F513">
        <f t="shared" si="30"/>
        <v>221293870.95908579</v>
      </c>
      <c r="G513">
        <f t="shared" si="31"/>
        <v>249684.31024930751</v>
      </c>
    </row>
    <row r="514" spans="1:7" x14ac:dyDescent="0.2">
      <c r="A514" s="14">
        <v>38930</v>
      </c>
      <c r="B514" s="18">
        <v>1572</v>
      </c>
      <c r="D514">
        <f t="shared" si="29"/>
        <v>1572</v>
      </c>
      <c r="E514">
        <f t="shared" si="32"/>
        <v>16370.949413704182</v>
      </c>
      <c r="F514">
        <f t="shared" si="30"/>
        <v>219008903.74937534</v>
      </c>
      <c r="G514">
        <f t="shared" si="31"/>
        <v>178661.9418282549</v>
      </c>
    </row>
    <row r="515" spans="1:7" x14ac:dyDescent="0.2">
      <c r="A515" s="14">
        <v>38961</v>
      </c>
      <c r="B515" s="18">
        <v>1317</v>
      </c>
      <c r="D515">
        <f t="shared" si="29"/>
        <v>1317</v>
      </c>
      <c r="E515">
        <f t="shared" si="32"/>
        <v>16370.949413704182</v>
      </c>
      <c r="F515">
        <f t="shared" si="30"/>
        <v>226621392.95036447</v>
      </c>
      <c r="G515">
        <f t="shared" si="31"/>
        <v>459255.88919667597</v>
      </c>
    </row>
    <row r="516" spans="1:7" x14ac:dyDescent="0.2">
      <c r="A516" s="14">
        <v>38991</v>
      </c>
      <c r="B516" s="18">
        <v>1421</v>
      </c>
      <c r="D516">
        <f t="shared" si="29"/>
        <v>1421</v>
      </c>
      <c r="E516">
        <f t="shared" si="32"/>
        <v>16370.949413704182</v>
      </c>
      <c r="F516">
        <f t="shared" si="30"/>
        <v>223500987.47231403</v>
      </c>
      <c r="G516">
        <f t="shared" si="31"/>
        <v>329113.57340720226</v>
      </c>
    </row>
    <row r="517" spans="1:7" x14ac:dyDescent="0.2">
      <c r="A517" s="14">
        <v>39022</v>
      </c>
      <c r="B517" s="18">
        <v>1371</v>
      </c>
      <c r="D517">
        <f t="shared" si="29"/>
        <v>1371</v>
      </c>
      <c r="E517">
        <f t="shared" si="32"/>
        <v>16370.949413704182</v>
      </c>
      <c r="F517">
        <f t="shared" si="30"/>
        <v>224998482.41368443</v>
      </c>
      <c r="G517">
        <f t="shared" si="31"/>
        <v>388981.99445983383</v>
      </c>
    </row>
    <row r="518" spans="1:7" x14ac:dyDescent="0.2">
      <c r="A518" s="14">
        <v>39052</v>
      </c>
      <c r="B518" s="18">
        <v>1457</v>
      </c>
      <c r="D518">
        <f t="shared" si="29"/>
        <v>1457</v>
      </c>
      <c r="E518">
        <f t="shared" si="32"/>
        <v>16370.949413704182</v>
      </c>
      <c r="F518">
        <f t="shared" si="30"/>
        <v>222425887.11452731</v>
      </c>
      <c r="G518">
        <f t="shared" si="31"/>
        <v>289104.31024930754</v>
      </c>
    </row>
    <row r="519" spans="1:7" x14ac:dyDescent="0.2">
      <c r="A519" s="14">
        <v>39083</v>
      </c>
      <c r="B519" s="18">
        <v>1220</v>
      </c>
      <c r="D519">
        <f t="shared" si="29"/>
        <v>1220</v>
      </c>
      <c r="E519">
        <f t="shared" si="32"/>
        <v>16370.949413704182</v>
      </c>
      <c r="F519">
        <f t="shared" si="30"/>
        <v>229551268.13662308</v>
      </c>
      <c r="G519">
        <f t="shared" si="31"/>
        <v>600135.62603878125</v>
      </c>
    </row>
    <row r="520" spans="1:7" x14ac:dyDescent="0.2">
      <c r="A520" s="14">
        <v>39114</v>
      </c>
      <c r="B520" s="18">
        <v>878</v>
      </c>
      <c r="D520">
        <f t="shared" si="29"/>
        <v>878</v>
      </c>
      <c r="E520">
        <f t="shared" si="32"/>
        <v>16370.949413704182</v>
      </c>
      <c r="F520">
        <f t="shared" si="30"/>
        <v>240031481.53559676</v>
      </c>
      <c r="G520">
        <f t="shared" si="31"/>
        <v>1246983.6260387814</v>
      </c>
    </row>
    <row r="521" spans="1:7" x14ac:dyDescent="0.2">
      <c r="A521" s="14">
        <v>39142</v>
      </c>
      <c r="B521" s="18">
        <v>1614</v>
      </c>
      <c r="D521">
        <f t="shared" si="29"/>
        <v>1614</v>
      </c>
      <c r="E521">
        <f t="shared" si="32"/>
        <v>16370.949413704182</v>
      </c>
      <c r="F521">
        <f t="shared" si="30"/>
        <v>217767555.99862421</v>
      </c>
      <c r="G521">
        <f t="shared" si="31"/>
        <v>144920.46814404437</v>
      </c>
    </row>
    <row r="522" spans="1:7" x14ac:dyDescent="0.2">
      <c r="A522" s="14">
        <v>39173</v>
      </c>
      <c r="B522" s="18">
        <v>1330</v>
      </c>
      <c r="D522">
        <f t="shared" si="29"/>
        <v>1330</v>
      </c>
      <c r="E522">
        <f t="shared" si="32"/>
        <v>16370.949413704182</v>
      </c>
      <c r="F522">
        <f t="shared" si="30"/>
        <v>226230159.26560816</v>
      </c>
      <c r="G522">
        <f t="shared" si="31"/>
        <v>441805.09972299176</v>
      </c>
    </row>
    <row r="523" spans="1:7" x14ac:dyDescent="0.2">
      <c r="A523" s="14">
        <v>39203</v>
      </c>
      <c r="B523" s="18">
        <v>1312</v>
      </c>
      <c r="D523">
        <f t="shared" si="29"/>
        <v>1312</v>
      </c>
      <c r="E523">
        <f t="shared" si="32"/>
        <v>16370.949413704182</v>
      </c>
      <c r="F523">
        <f t="shared" si="30"/>
        <v>226771957.44450152</v>
      </c>
      <c r="G523">
        <f t="shared" si="31"/>
        <v>466057.73130193911</v>
      </c>
    </row>
    <row r="524" spans="1:7" x14ac:dyDescent="0.2">
      <c r="A524" s="14">
        <v>39234</v>
      </c>
      <c r="B524" s="18">
        <v>1267</v>
      </c>
      <c r="D524">
        <f t="shared" si="29"/>
        <v>1267</v>
      </c>
      <c r="E524">
        <f t="shared" si="32"/>
        <v>16370.949413704182</v>
      </c>
      <c r="F524">
        <f t="shared" si="30"/>
        <v>228129287.8917349</v>
      </c>
      <c r="G524">
        <f t="shared" si="31"/>
        <v>529524.31024930754</v>
      </c>
    </row>
    <row r="525" spans="1:7" x14ac:dyDescent="0.2">
      <c r="A525" s="14">
        <v>39264</v>
      </c>
      <c r="B525" s="18">
        <v>1289</v>
      </c>
      <c r="D525">
        <f t="shared" ref="D525:D588" si="33">B525</f>
        <v>1289</v>
      </c>
      <c r="E525">
        <f t="shared" si="32"/>
        <v>16370.949413704182</v>
      </c>
      <c r="F525">
        <f t="shared" ref="F525:F588" si="34">(D525-E525)^2</f>
        <v>227465198.11753193</v>
      </c>
      <c r="G525">
        <f t="shared" ref="G525:G588" si="35">(D525-$G$5)^2</f>
        <v>497990.20498614968</v>
      </c>
    </row>
    <row r="526" spans="1:7" x14ac:dyDescent="0.2">
      <c r="A526" s="14">
        <v>39295</v>
      </c>
      <c r="B526" s="18">
        <v>1215</v>
      </c>
      <c r="D526">
        <f t="shared" si="33"/>
        <v>1215</v>
      </c>
      <c r="E526">
        <f t="shared" si="32"/>
        <v>16370.949413704182</v>
      </c>
      <c r="F526">
        <f t="shared" si="34"/>
        <v>229702802.63076013</v>
      </c>
      <c r="G526">
        <f t="shared" si="35"/>
        <v>607907.4681440444</v>
      </c>
    </row>
    <row r="527" spans="1:7" x14ac:dyDescent="0.2">
      <c r="A527" s="14">
        <v>39326</v>
      </c>
      <c r="B527" s="18">
        <v>1200</v>
      </c>
      <c r="D527">
        <f t="shared" si="33"/>
        <v>1200</v>
      </c>
      <c r="E527">
        <f t="shared" si="32"/>
        <v>16370.949413704182</v>
      </c>
      <c r="F527">
        <f t="shared" si="34"/>
        <v>230157706.11317125</v>
      </c>
      <c r="G527">
        <f t="shared" si="35"/>
        <v>631522.99445983383</v>
      </c>
    </row>
    <row r="528" spans="1:7" x14ac:dyDescent="0.2">
      <c r="A528" s="14">
        <v>39356</v>
      </c>
      <c r="B528" s="18">
        <v>1242</v>
      </c>
      <c r="D528">
        <f t="shared" si="33"/>
        <v>1242</v>
      </c>
      <c r="E528">
        <f t="shared" si="32"/>
        <v>16370.949413704182</v>
      </c>
      <c r="F528">
        <f t="shared" si="34"/>
        <v>228885110.36242011</v>
      </c>
      <c r="G528">
        <f t="shared" si="35"/>
        <v>566533.52077562339</v>
      </c>
    </row>
    <row r="529" spans="1:7" x14ac:dyDescent="0.2">
      <c r="A529" s="14">
        <v>39387</v>
      </c>
      <c r="B529" s="18">
        <v>1167</v>
      </c>
      <c r="D529">
        <f t="shared" si="33"/>
        <v>1167</v>
      </c>
      <c r="E529">
        <f t="shared" si="32"/>
        <v>16370.949413704182</v>
      </c>
      <c r="F529">
        <f t="shared" si="34"/>
        <v>231160077.77447575</v>
      </c>
      <c r="G529">
        <f t="shared" si="35"/>
        <v>685061.15235457069</v>
      </c>
    </row>
    <row r="530" spans="1:7" x14ac:dyDescent="0.2">
      <c r="A530" s="14">
        <v>39417</v>
      </c>
      <c r="B530" s="18">
        <v>1057</v>
      </c>
      <c r="D530">
        <f t="shared" si="33"/>
        <v>1057</v>
      </c>
      <c r="E530">
        <f t="shared" si="32"/>
        <v>16370.949413704182</v>
      </c>
      <c r="F530">
        <f t="shared" si="34"/>
        <v>234517046.64549065</v>
      </c>
      <c r="G530">
        <f t="shared" si="35"/>
        <v>879251.67867036024</v>
      </c>
    </row>
    <row r="531" spans="1:7" x14ac:dyDescent="0.2">
      <c r="A531" s="14">
        <v>39448</v>
      </c>
      <c r="B531" s="18">
        <v>1134</v>
      </c>
      <c r="D531">
        <f t="shared" si="33"/>
        <v>1134</v>
      </c>
      <c r="E531">
        <f t="shared" si="32"/>
        <v>16370.949413704182</v>
      </c>
      <c r="F531">
        <f t="shared" si="34"/>
        <v>232164627.43578023</v>
      </c>
      <c r="G531">
        <f t="shared" si="35"/>
        <v>740777.31024930754</v>
      </c>
    </row>
    <row r="532" spans="1:7" x14ac:dyDescent="0.2">
      <c r="A532" s="14">
        <v>39479</v>
      </c>
      <c r="B532" s="18">
        <v>1115</v>
      </c>
      <c r="D532">
        <f t="shared" si="33"/>
        <v>1115</v>
      </c>
      <c r="E532">
        <f t="shared" si="32"/>
        <v>16370.949413704182</v>
      </c>
      <c r="F532">
        <f t="shared" si="34"/>
        <v>232743992.51350099</v>
      </c>
      <c r="G532">
        <f t="shared" si="35"/>
        <v>773844.31024930754</v>
      </c>
    </row>
    <row r="533" spans="1:7" x14ac:dyDescent="0.2">
      <c r="A533" s="14">
        <v>39508</v>
      </c>
      <c r="B533" s="18">
        <v>1181</v>
      </c>
      <c r="D533">
        <f t="shared" si="33"/>
        <v>1181</v>
      </c>
      <c r="E533">
        <f t="shared" si="32"/>
        <v>16370.949413704182</v>
      </c>
      <c r="F533">
        <f t="shared" si="34"/>
        <v>230734563.19089201</v>
      </c>
      <c r="G533">
        <f t="shared" si="35"/>
        <v>662081.99445983383</v>
      </c>
    </row>
    <row r="534" spans="1:7" x14ac:dyDescent="0.2">
      <c r="A534" s="14">
        <v>39539</v>
      </c>
      <c r="B534" s="18">
        <v>1140</v>
      </c>
      <c r="D534">
        <f t="shared" si="33"/>
        <v>1140</v>
      </c>
      <c r="E534">
        <f t="shared" si="32"/>
        <v>16370.949413704182</v>
      </c>
      <c r="F534">
        <f t="shared" si="34"/>
        <v>231981820.04281577</v>
      </c>
      <c r="G534">
        <f t="shared" si="35"/>
        <v>730485.09972299181</v>
      </c>
    </row>
    <row r="535" spans="1:7" x14ac:dyDescent="0.2">
      <c r="A535" s="14">
        <v>39569</v>
      </c>
      <c r="B535" s="18">
        <v>1133</v>
      </c>
      <c r="D535">
        <f t="shared" si="33"/>
        <v>1133</v>
      </c>
      <c r="E535">
        <f t="shared" si="32"/>
        <v>16370.949413704182</v>
      </c>
      <c r="F535">
        <f t="shared" si="34"/>
        <v>232195102.33460763</v>
      </c>
      <c r="G535">
        <f t="shared" si="35"/>
        <v>742499.67867036024</v>
      </c>
    </row>
    <row r="536" spans="1:7" x14ac:dyDescent="0.2">
      <c r="A536" s="14">
        <v>39600</v>
      </c>
      <c r="B536" s="18">
        <v>1022</v>
      </c>
      <c r="D536">
        <f t="shared" si="33"/>
        <v>1022</v>
      </c>
      <c r="E536">
        <f t="shared" si="32"/>
        <v>16370.949413704182</v>
      </c>
      <c r="F536">
        <f t="shared" si="34"/>
        <v>235590248.10444996</v>
      </c>
      <c r="G536">
        <f t="shared" si="35"/>
        <v>946114.57340720226</v>
      </c>
    </row>
    <row r="537" spans="1:7" x14ac:dyDescent="0.2">
      <c r="A537" s="14">
        <v>39630</v>
      </c>
      <c r="B537" s="18">
        <v>1107</v>
      </c>
      <c r="D537">
        <f t="shared" si="33"/>
        <v>1107</v>
      </c>
      <c r="E537">
        <f t="shared" si="32"/>
        <v>16370.949413704182</v>
      </c>
      <c r="F537">
        <f t="shared" si="34"/>
        <v>232988151.70412025</v>
      </c>
      <c r="G537">
        <f t="shared" si="35"/>
        <v>787983.25761772867</v>
      </c>
    </row>
    <row r="538" spans="1:7" x14ac:dyDescent="0.2">
      <c r="A538" s="14">
        <v>39661</v>
      </c>
      <c r="B538" s="18">
        <v>1106</v>
      </c>
      <c r="D538">
        <f t="shared" si="33"/>
        <v>1106</v>
      </c>
      <c r="E538">
        <f t="shared" si="32"/>
        <v>16370.949413704182</v>
      </c>
      <c r="F538">
        <f t="shared" si="34"/>
        <v>233018680.60294765</v>
      </c>
      <c r="G538">
        <f t="shared" si="35"/>
        <v>789759.62603878125</v>
      </c>
    </row>
    <row r="539" spans="1:7" x14ac:dyDescent="0.2">
      <c r="A539" s="14">
        <v>39692</v>
      </c>
      <c r="B539" s="18">
        <v>1082</v>
      </c>
      <c r="D539">
        <f t="shared" si="33"/>
        <v>1082</v>
      </c>
      <c r="E539">
        <f t="shared" si="32"/>
        <v>16370.949413704182</v>
      </c>
      <c r="F539">
        <f t="shared" si="34"/>
        <v>233751974.17480546</v>
      </c>
      <c r="G539">
        <f t="shared" si="35"/>
        <v>832992.4681440444</v>
      </c>
    </row>
    <row r="540" spans="1:7" x14ac:dyDescent="0.2">
      <c r="A540" s="14">
        <v>39722</v>
      </c>
      <c r="B540" s="18">
        <v>1052</v>
      </c>
      <c r="D540">
        <f t="shared" si="33"/>
        <v>1052</v>
      </c>
      <c r="E540">
        <f t="shared" si="32"/>
        <v>16370.949413704182</v>
      </c>
      <c r="F540">
        <f t="shared" si="34"/>
        <v>234670211.1396277</v>
      </c>
      <c r="G540">
        <f t="shared" si="35"/>
        <v>888653.52077562339</v>
      </c>
    </row>
    <row r="541" spans="1:7" x14ac:dyDescent="0.2">
      <c r="A541" s="14">
        <v>39753</v>
      </c>
      <c r="B541" s="18">
        <v>1113</v>
      </c>
      <c r="D541">
        <f t="shared" si="33"/>
        <v>1113</v>
      </c>
      <c r="E541">
        <f t="shared" si="32"/>
        <v>16370.949413704182</v>
      </c>
      <c r="F541">
        <f t="shared" si="34"/>
        <v>232805020.3111558</v>
      </c>
      <c r="G541">
        <f t="shared" si="35"/>
        <v>777367.04709141282</v>
      </c>
    </row>
    <row r="542" spans="1:7" x14ac:dyDescent="0.2">
      <c r="A542" s="14">
        <v>39783</v>
      </c>
      <c r="B542" s="18">
        <v>1150</v>
      </c>
      <c r="D542">
        <f t="shared" si="33"/>
        <v>1150</v>
      </c>
      <c r="E542">
        <f t="shared" si="32"/>
        <v>16370.949413704182</v>
      </c>
      <c r="F542">
        <f t="shared" si="34"/>
        <v>231677301.05454168</v>
      </c>
      <c r="G542">
        <f t="shared" si="35"/>
        <v>713491.41551246541</v>
      </c>
    </row>
    <row r="543" spans="1:7" x14ac:dyDescent="0.2">
      <c r="A543" s="14">
        <v>39814</v>
      </c>
      <c r="B543" s="18">
        <v>797</v>
      </c>
      <c r="D543">
        <f t="shared" si="33"/>
        <v>797</v>
      </c>
      <c r="E543">
        <f t="shared" si="32"/>
        <v>16370.949413704182</v>
      </c>
      <c r="F543">
        <f t="shared" si="34"/>
        <v>242547900.34061682</v>
      </c>
      <c r="G543">
        <f t="shared" si="35"/>
        <v>1434447.4681440445</v>
      </c>
    </row>
    <row r="544" spans="1:7" x14ac:dyDescent="0.2">
      <c r="A544" s="14">
        <v>39845</v>
      </c>
      <c r="B544" s="18">
        <v>611</v>
      </c>
      <c r="D544">
        <f t="shared" si="33"/>
        <v>611</v>
      </c>
      <c r="E544">
        <f t="shared" si="32"/>
        <v>16370.949413704182</v>
      </c>
      <c r="F544">
        <f t="shared" si="34"/>
        <v>248376005.52251479</v>
      </c>
      <c r="G544">
        <f t="shared" si="35"/>
        <v>1914581.9944598339</v>
      </c>
    </row>
    <row r="545" spans="1:7" x14ac:dyDescent="0.2">
      <c r="A545" s="14">
        <v>39873</v>
      </c>
      <c r="B545" s="18">
        <v>516</v>
      </c>
      <c r="D545">
        <f t="shared" si="33"/>
        <v>516</v>
      </c>
      <c r="E545">
        <f t="shared" si="32"/>
        <v>16370.949413704182</v>
      </c>
      <c r="F545">
        <f t="shared" si="34"/>
        <v>251379420.9111186</v>
      </c>
      <c r="G545">
        <f t="shared" si="35"/>
        <v>2186506.9944598339</v>
      </c>
    </row>
    <row r="546" spans="1:7" x14ac:dyDescent="0.2">
      <c r="A546" s="14">
        <v>39904</v>
      </c>
      <c r="B546" s="18">
        <v>794</v>
      </c>
      <c r="D546">
        <f t="shared" si="33"/>
        <v>794</v>
      </c>
      <c r="E546">
        <f t="shared" si="32"/>
        <v>16370.949413704182</v>
      </c>
      <c r="F546">
        <f t="shared" si="34"/>
        <v>242641353.03709906</v>
      </c>
      <c r="G546">
        <f t="shared" si="35"/>
        <v>1441642.5734072023</v>
      </c>
    </row>
    <row r="547" spans="1:7" x14ac:dyDescent="0.2">
      <c r="A547" s="14">
        <v>39934</v>
      </c>
      <c r="B547" s="18">
        <v>853</v>
      </c>
      <c r="D547">
        <f t="shared" si="33"/>
        <v>853</v>
      </c>
      <c r="E547">
        <f t="shared" si="32"/>
        <v>16370.949413704182</v>
      </c>
      <c r="F547">
        <f t="shared" si="34"/>
        <v>240806754.00628197</v>
      </c>
      <c r="G547">
        <f t="shared" si="35"/>
        <v>1303442.8365650971</v>
      </c>
    </row>
    <row r="548" spans="1:7" x14ac:dyDescent="0.2">
      <c r="A548" s="14">
        <v>39965</v>
      </c>
      <c r="B548" s="18">
        <v>706</v>
      </c>
      <c r="D548">
        <f t="shared" si="33"/>
        <v>706</v>
      </c>
      <c r="E548">
        <f t="shared" si="32"/>
        <v>16370.949413704182</v>
      </c>
      <c r="F548">
        <f t="shared" si="34"/>
        <v>245390640.13391098</v>
      </c>
      <c r="G548">
        <f t="shared" si="35"/>
        <v>1660706.9944598339</v>
      </c>
    </row>
    <row r="549" spans="1:7" x14ac:dyDescent="0.2">
      <c r="A549" s="14">
        <v>39995</v>
      </c>
      <c r="B549" s="18">
        <v>756</v>
      </c>
      <c r="D549">
        <f t="shared" si="33"/>
        <v>756</v>
      </c>
      <c r="E549">
        <f t="shared" si="32"/>
        <v>16370.949413704182</v>
      </c>
      <c r="F549">
        <f t="shared" si="34"/>
        <v>243826645.19254059</v>
      </c>
      <c r="G549">
        <f t="shared" si="35"/>
        <v>1534338.5734072023</v>
      </c>
    </row>
    <row r="550" spans="1:7" x14ac:dyDescent="0.2">
      <c r="A550" s="14">
        <v>40026</v>
      </c>
      <c r="B550" s="18">
        <v>766</v>
      </c>
      <c r="D550">
        <f t="shared" si="33"/>
        <v>766</v>
      </c>
      <c r="E550">
        <f t="shared" si="32"/>
        <v>16370.949413704182</v>
      </c>
      <c r="F550">
        <f t="shared" si="34"/>
        <v>243514446.20426649</v>
      </c>
      <c r="G550">
        <f t="shared" si="35"/>
        <v>1509664.889196676</v>
      </c>
    </row>
    <row r="551" spans="1:7" x14ac:dyDescent="0.2">
      <c r="A551" s="14">
        <v>40057</v>
      </c>
      <c r="B551" s="18">
        <v>756</v>
      </c>
      <c r="D551">
        <f t="shared" si="33"/>
        <v>756</v>
      </c>
      <c r="E551">
        <f t="shared" si="32"/>
        <v>16370.949413704182</v>
      </c>
      <c r="F551">
        <f t="shared" si="34"/>
        <v>243826645.19254059</v>
      </c>
      <c r="G551">
        <f t="shared" si="35"/>
        <v>1534338.5734072023</v>
      </c>
    </row>
    <row r="552" spans="1:7" x14ac:dyDescent="0.2">
      <c r="A552" s="14">
        <v>40087</v>
      </c>
      <c r="B552" s="18">
        <v>702</v>
      </c>
      <c r="D552">
        <f t="shared" si="33"/>
        <v>702</v>
      </c>
      <c r="E552">
        <f t="shared" si="32"/>
        <v>16370.949413704182</v>
      </c>
      <c r="F552">
        <f t="shared" si="34"/>
        <v>245515975.72922063</v>
      </c>
      <c r="G552">
        <f t="shared" si="35"/>
        <v>1671032.4681440445</v>
      </c>
    </row>
    <row r="553" spans="1:7" x14ac:dyDescent="0.2">
      <c r="A553" s="14">
        <v>40118</v>
      </c>
      <c r="B553" s="18">
        <v>651</v>
      </c>
      <c r="D553">
        <f t="shared" si="33"/>
        <v>651</v>
      </c>
      <c r="E553">
        <f t="shared" si="32"/>
        <v>16370.949413704182</v>
      </c>
      <c r="F553">
        <f t="shared" si="34"/>
        <v>247116809.56941846</v>
      </c>
      <c r="G553">
        <f t="shared" si="35"/>
        <v>1805487.2576177286</v>
      </c>
    </row>
    <row r="554" spans="1:7" x14ac:dyDescent="0.2">
      <c r="A554" s="14">
        <v>40148</v>
      </c>
      <c r="B554" s="18">
        <v>1168</v>
      </c>
      <c r="D554">
        <f t="shared" si="33"/>
        <v>1168</v>
      </c>
      <c r="E554">
        <f t="shared" si="32"/>
        <v>16370.949413704182</v>
      </c>
      <c r="F554">
        <f t="shared" si="34"/>
        <v>231129670.87564832</v>
      </c>
      <c r="G554">
        <f t="shared" si="35"/>
        <v>683406.78393351811</v>
      </c>
    </row>
    <row r="555" spans="1:7" x14ac:dyDescent="0.2">
      <c r="A555" s="14">
        <v>40179</v>
      </c>
      <c r="B555" s="18">
        <v>943</v>
      </c>
      <c r="D555">
        <f t="shared" si="33"/>
        <v>943</v>
      </c>
      <c r="E555">
        <f t="shared" si="32"/>
        <v>16370.949413704182</v>
      </c>
      <c r="F555">
        <f t="shared" si="34"/>
        <v>238021623.11181521</v>
      </c>
      <c r="G555">
        <f t="shared" si="35"/>
        <v>1106039.6786703602</v>
      </c>
    </row>
    <row r="556" spans="1:7" x14ac:dyDescent="0.2">
      <c r="A556" s="14">
        <v>40210</v>
      </c>
      <c r="B556" s="18">
        <v>813</v>
      </c>
      <c r="D556">
        <f t="shared" si="33"/>
        <v>813</v>
      </c>
      <c r="E556">
        <f t="shared" ref="E556:E619" si="36">$E$5/(1+$D$5*C556)</f>
        <v>16370.949413704182</v>
      </c>
      <c r="F556">
        <f t="shared" si="34"/>
        <v>242049789.9593783</v>
      </c>
      <c r="G556">
        <f t="shared" si="35"/>
        <v>1396377.5734072023</v>
      </c>
    </row>
    <row r="557" spans="1:7" x14ac:dyDescent="0.2">
      <c r="A557" s="14">
        <v>40238</v>
      </c>
      <c r="B557" s="18">
        <v>875</v>
      </c>
      <c r="D557">
        <f t="shared" si="33"/>
        <v>875</v>
      </c>
      <c r="E557">
        <f t="shared" si="36"/>
        <v>16370.949413704182</v>
      </c>
      <c r="F557">
        <f t="shared" si="34"/>
        <v>240124448.23207897</v>
      </c>
      <c r="G557">
        <f t="shared" si="35"/>
        <v>1253692.7313019391</v>
      </c>
    </row>
    <row r="558" spans="1:7" x14ac:dyDescent="0.2">
      <c r="A558" s="14">
        <v>40269</v>
      </c>
      <c r="B558" s="18">
        <v>795</v>
      </c>
      <c r="D558">
        <f t="shared" si="33"/>
        <v>795</v>
      </c>
      <c r="E558">
        <f t="shared" si="36"/>
        <v>16370.949413704182</v>
      </c>
      <c r="F558">
        <f t="shared" si="34"/>
        <v>242610200.13827166</v>
      </c>
      <c r="G558">
        <f t="shared" si="35"/>
        <v>1439242.2049861497</v>
      </c>
    </row>
    <row r="559" spans="1:7" x14ac:dyDescent="0.2">
      <c r="A559" s="14">
        <v>40299</v>
      </c>
      <c r="B559" s="18">
        <v>875</v>
      </c>
      <c r="D559">
        <f t="shared" si="33"/>
        <v>875</v>
      </c>
      <c r="E559">
        <f t="shared" si="36"/>
        <v>16370.949413704182</v>
      </c>
      <c r="F559">
        <f t="shared" si="34"/>
        <v>240124448.23207897</v>
      </c>
      <c r="G559">
        <f t="shared" si="35"/>
        <v>1253692.7313019391</v>
      </c>
    </row>
    <row r="560" spans="1:7" x14ac:dyDescent="0.2">
      <c r="A560" s="14">
        <v>40330</v>
      </c>
      <c r="B560" s="18">
        <v>838</v>
      </c>
      <c r="D560">
        <f t="shared" si="33"/>
        <v>838</v>
      </c>
      <c r="E560">
        <f t="shared" si="36"/>
        <v>16370.949413704182</v>
      </c>
      <c r="F560">
        <f t="shared" si="34"/>
        <v>241272517.48869309</v>
      </c>
      <c r="G560">
        <f t="shared" si="35"/>
        <v>1337918.3628808865</v>
      </c>
    </row>
    <row r="561" spans="1:7" x14ac:dyDescent="0.2">
      <c r="A561" s="14">
        <v>40360</v>
      </c>
      <c r="B561" s="18">
        <v>804</v>
      </c>
      <c r="D561">
        <f t="shared" si="33"/>
        <v>804</v>
      </c>
      <c r="E561">
        <f t="shared" si="36"/>
        <v>16370.949413704182</v>
      </c>
      <c r="F561">
        <f t="shared" si="34"/>
        <v>242329914.04882497</v>
      </c>
      <c r="G561">
        <f t="shared" si="35"/>
        <v>1417728.889196676</v>
      </c>
    </row>
    <row r="562" spans="1:7" x14ac:dyDescent="0.2">
      <c r="A562" s="14">
        <v>40391</v>
      </c>
      <c r="B562" s="18">
        <v>839</v>
      </c>
      <c r="D562">
        <f t="shared" si="33"/>
        <v>839</v>
      </c>
      <c r="E562">
        <f t="shared" si="36"/>
        <v>16370.949413704182</v>
      </c>
      <c r="F562">
        <f t="shared" si="34"/>
        <v>241241452.58986568</v>
      </c>
      <c r="G562">
        <f t="shared" si="35"/>
        <v>1335605.9944598339</v>
      </c>
    </row>
    <row r="563" spans="1:7" x14ac:dyDescent="0.2">
      <c r="A563" s="14">
        <v>40422</v>
      </c>
      <c r="B563" s="18">
        <v>780</v>
      </c>
      <c r="D563">
        <f t="shared" si="33"/>
        <v>780</v>
      </c>
      <c r="E563">
        <f t="shared" si="36"/>
        <v>16370.949413704182</v>
      </c>
      <c r="F563">
        <f t="shared" si="34"/>
        <v>243077703.62068278</v>
      </c>
      <c r="G563">
        <f t="shared" si="35"/>
        <v>1475457.7313019391</v>
      </c>
    </row>
    <row r="564" spans="1:7" x14ac:dyDescent="0.2">
      <c r="A564" s="14">
        <v>40452</v>
      </c>
      <c r="B564" s="18">
        <v>779</v>
      </c>
      <c r="D564">
        <f t="shared" si="33"/>
        <v>779</v>
      </c>
      <c r="E564">
        <f t="shared" si="36"/>
        <v>16370.949413704182</v>
      </c>
      <c r="F564">
        <f t="shared" si="34"/>
        <v>243108886.51951018</v>
      </c>
      <c r="G564">
        <f t="shared" si="35"/>
        <v>1477888.0997229917</v>
      </c>
    </row>
    <row r="565" spans="1:7" x14ac:dyDescent="0.2">
      <c r="A565" s="14">
        <v>40483</v>
      </c>
      <c r="B565" s="18">
        <v>702</v>
      </c>
      <c r="D565">
        <f t="shared" si="33"/>
        <v>702</v>
      </c>
      <c r="E565">
        <f t="shared" si="36"/>
        <v>16370.949413704182</v>
      </c>
      <c r="F565">
        <f t="shared" si="34"/>
        <v>245515975.72922063</v>
      </c>
      <c r="G565">
        <f t="shared" si="35"/>
        <v>1671032.4681440445</v>
      </c>
    </row>
    <row r="566" spans="1:7" x14ac:dyDescent="0.2">
      <c r="A566" s="14">
        <v>40513</v>
      </c>
      <c r="B566" s="18">
        <v>740</v>
      </c>
      <c r="D566">
        <f t="shared" si="33"/>
        <v>740</v>
      </c>
      <c r="E566">
        <f t="shared" si="36"/>
        <v>16370.949413704182</v>
      </c>
      <c r="F566">
        <f t="shared" si="34"/>
        <v>244326579.57377911</v>
      </c>
      <c r="G566">
        <f t="shared" si="35"/>
        <v>1574232.4681440445</v>
      </c>
    </row>
    <row r="567" spans="1:7" x14ac:dyDescent="0.2">
      <c r="A567" s="14">
        <v>40544</v>
      </c>
      <c r="B567" s="18">
        <v>622</v>
      </c>
      <c r="D567">
        <f t="shared" si="33"/>
        <v>622</v>
      </c>
      <c r="E567">
        <f t="shared" si="36"/>
        <v>16370.949413704182</v>
      </c>
      <c r="F567">
        <f t="shared" si="34"/>
        <v>248029407.63541329</v>
      </c>
      <c r="G567">
        <f t="shared" si="35"/>
        <v>1884261.9418282551</v>
      </c>
    </row>
    <row r="568" spans="1:7" x14ac:dyDescent="0.2">
      <c r="A568" s="14">
        <v>40575</v>
      </c>
      <c r="B568" s="18">
        <v>562</v>
      </c>
      <c r="D568">
        <f t="shared" si="33"/>
        <v>562</v>
      </c>
      <c r="E568">
        <f t="shared" si="36"/>
        <v>16370.949413704182</v>
      </c>
      <c r="F568">
        <f t="shared" si="34"/>
        <v>249922881.56505781</v>
      </c>
      <c r="G568">
        <f t="shared" si="35"/>
        <v>2052584.0470914128</v>
      </c>
    </row>
    <row r="569" spans="1:7" x14ac:dyDescent="0.2">
      <c r="A569" s="14">
        <v>40603</v>
      </c>
      <c r="B569" s="18">
        <v>652</v>
      </c>
      <c r="D569">
        <f t="shared" si="33"/>
        <v>652</v>
      </c>
      <c r="E569">
        <f t="shared" si="36"/>
        <v>16370.949413704182</v>
      </c>
      <c r="F569">
        <f t="shared" si="34"/>
        <v>247085370.67059106</v>
      </c>
      <c r="G569">
        <f t="shared" si="35"/>
        <v>1802800.889196676</v>
      </c>
    </row>
    <row r="570" spans="1:7" x14ac:dyDescent="0.2">
      <c r="A570" s="14">
        <v>40634</v>
      </c>
      <c r="B570" s="18">
        <v>688</v>
      </c>
      <c r="D570">
        <f t="shared" si="33"/>
        <v>688</v>
      </c>
      <c r="E570">
        <f t="shared" si="36"/>
        <v>16370.949413704182</v>
      </c>
      <c r="F570">
        <f t="shared" si="34"/>
        <v>245954902.31280434</v>
      </c>
      <c r="G570">
        <f t="shared" si="35"/>
        <v>1707423.6260387814</v>
      </c>
    </row>
    <row r="571" spans="1:7" x14ac:dyDescent="0.2">
      <c r="A571" s="14">
        <v>40664</v>
      </c>
      <c r="B571" s="18">
        <v>564</v>
      </c>
      <c r="D571">
        <f t="shared" si="33"/>
        <v>564</v>
      </c>
      <c r="E571">
        <f t="shared" si="36"/>
        <v>16370.949413704182</v>
      </c>
      <c r="F571">
        <f t="shared" si="34"/>
        <v>249859649.76740298</v>
      </c>
      <c r="G571">
        <f t="shared" si="35"/>
        <v>2046857.3102493077</v>
      </c>
    </row>
    <row r="572" spans="1:7" x14ac:dyDescent="0.2">
      <c r="A572" s="14">
        <v>40695</v>
      </c>
      <c r="B572" s="18">
        <v>622</v>
      </c>
      <c r="D572">
        <f t="shared" si="33"/>
        <v>622</v>
      </c>
      <c r="E572">
        <f t="shared" si="36"/>
        <v>16370.949413704182</v>
      </c>
      <c r="F572">
        <f t="shared" si="34"/>
        <v>248029407.63541329</v>
      </c>
      <c r="G572">
        <f t="shared" si="35"/>
        <v>1884261.9418282551</v>
      </c>
    </row>
    <row r="573" spans="1:7" x14ac:dyDescent="0.2">
      <c r="A573" s="14">
        <v>40725</v>
      </c>
      <c r="B573" s="18">
        <v>666</v>
      </c>
      <c r="D573">
        <f t="shared" si="33"/>
        <v>666</v>
      </c>
      <c r="E573">
        <f t="shared" si="36"/>
        <v>16370.949413704182</v>
      </c>
      <c r="F573">
        <f t="shared" si="34"/>
        <v>246645436.08700734</v>
      </c>
      <c r="G573">
        <f t="shared" si="35"/>
        <v>1765401.7313019391</v>
      </c>
    </row>
    <row r="574" spans="1:7" x14ac:dyDescent="0.2">
      <c r="A574" s="14">
        <v>40756</v>
      </c>
      <c r="B574" s="18">
        <v>846</v>
      </c>
      <c r="D574">
        <f t="shared" si="33"/>
        <v>846</v>
      </c>
      <c r="E574">
        <f t="shared" si="36"/>
        <v>16370.949413704182</v>
      </c>
      <c r="F574">
        <f t="shared" si="34"/>
        <v>241024054.29807383</v>
      </c>
      <c r="G574">
        <f t="shared" si="35"/>
        <v>1319475.4155124654</v>
      </c>
    </row>
    <row r="575" spans="1:7" x14ac:dyDescent="0.2">
      <c r="A575" s="14">
        <v>40787</v>
      </c>
      <c r="B575" s="18">
        <v>613</v>
      </c>
      <c r="D575">
        <f t="shared" si="33"/>
        <v>613</v>
      </c>
      <c r="E575">
        <f t="shared" si="36"/>
        <v>16370.949413704182</v>
      </c>
      <c r="F575">
        <f t="shared" si="34"/>
        <v>248312969.72485998</v>
      </c>
      <c r="G575">
        <f t="shared" si="35"/>
        <v>1909051.2576177286</v>
      </c>
    </row>
    <row r="576" spans="1:7" x14ac:dyDescent="0.2">
      <c r="A576" s="14">
        <v>40817</v>
      </c>
      <c r="B576" s="18">
        <v>641</v>
      </c>
      <c r="D576">
        <f t="shared" si="33"/>
        <v>641</v>
      </c>
      <c r="E576">
        <f t="shared" si="36"/>
        <v>16370.949413704182</v>
      </c>
      <c r="F576">
        <f t="shared" si="34"/>
        <v>247431308.55769253</v>
      </c>
      <c r="G576">
        <f t="shared" si="35"/>
        <v>1832460.9418282551</v>
      </c>
    </row>
    <row r="577" spans="1:7" x14ac:dyDescent="0.2">
      <c r="A577" s="14">
        <v>40848</v>
      </c>
      <c r="B577" s="18">
        <v>629</v>
      </c>
      <c r="D577">
        <f t="shared" si="33"/>
        <v>629</v>
      </c>
      <c r="E577">
        <f t="shared" si="36"/>
        <v>16370.949413704182</v>
      </c>
      <c r="F577">
        <f t="shared" si="34"/>
        <v>247808971.34362143</v>
      </c>
      <c r="G577">
        <f t="shared" si="35"/>
        <v>1865093.3628808865</v>
      </c>
    </row>
    <row r="578" spans="1:7" x14ac:dyDescent="0.2">
      <c r="A578" s="14">
        <v>40878</v>
      </c>
      <c r="B578" s="18">
        <v>633</v>
      </c>
      <c r="D578">
        <f t="shared" si="33"/>
        <v>633</v>
      </c>
      <c r="E578">
        <f t="shared" si="36"/>
        <v>16370.949413704182</v>
      </c>
      <c r="F578">
        <f t="shared" si="34"/>
        <v>247683051.74831182</v>
      </c>
      <c r="G578">
        <f t="shared" si="35"/>
        <v>1854183.889196676</v>
      </c>
    </row>
    <row r="579" spans="1:7" x14ac:dyDescent="0.2">
      <c r="A579" s="14">
        <v>40909</v>
      </c>
      <c r="B579" s="18">
        <v>637</v>
      </c>
      <c r="D579">
        <f t="shared" si="33"/>
        <v>637</v>
      </c>
      <c r="E579">
        <f t="shared" si="36"/>
        <v>16370.949413704182</v>
      </c>
      <c r="F579">
        <f t="shared" si="34"/>
        <v>247557164.15300217</v>
      </c>
      <c r="G579">
        <f t="shared" si="35"/>
        <v>1843306.4155124654</v>
      </c>
    </row>
    <row r="580" spans="1:7" x14ac:dyDescent="0.2">
      <c r="A580" s="14">
        <v>40940</v>
      </c>
      <c r="B580" s="18">
        <v>586</v>
      </c>
      <c r="D580">
        <f t="shared" si="33"/>
        <v>586</v>
      </c>
      <c r="E580">
        <f t="shared" si="36"/>
        <v>16370.949413704182</v>
      </c>
      <c r="F580">
        <f t="shared" si="34"/>
        <v>249164627.9932</v>
      </c>
      <c r="G580">
        <f t="shared" si="35"/>
        <v>1984391.2049861497</v>
      </c>
    </row>
    <row r="581" spans="1:7" x14ac:dyDescent="0.2">
      <c r="A581" s="14">
        <v>40969</v>
      </c>
      <c r="B581" s="18">
        <v>618</v>
      </c>
      <c r="D581">
        <f t="shared" si="33"/>
        <v>618</v>
      </c>
      <c r="E581">
        <f t="shared" si="36"/>
        <v>16370.949413704182</v>
      </c>
      <c r="F581">
        <f t="shared" si="34"/>
        <v>248155415.23072293</v>
      </c>
      <c r="G581">
        <f t="shared" si="35"/>
        <v>1895259.4155124654</v>
      </c>
    </row>
    <row r="582" spans="1:7" x14ac:dyDescent="0.2">
      <c r="A582" s="14">
        <v>41000</v>
      </c>
      <c r="B582" s="18">
        <v>610</v>
      </c>
      <c r="D582">
        <f t="shared" si="33"/>
        <v>610</v>
      </c>
      <c r="E582">
        <f t="shared" si="36"/>
        <v>16370.949413704182</v>
      </c>
      <c r="F582">
        <f t="shared" si="34"/>
        <v>248407526.42134219</v>
      </c>
      <c r="G582">
        <f t="shared" si="35"/>
        <v>1917350.3628808865</v>
      </c>
    </row>
    <row r="583" spans="1:7" x14ac:dyDescent="0.2">
      <c r="A583" s="14">
        <v>41030</v>
      </c>
      <c r="B583" s="18">
        <v>644</v>
      </c>
      <c r="D583">
        <f t="shared" si="33"/>
        <v>644</v>
      </c>
      <c r="E583">
        <f t="shared" si="36"/>
        <v>16370.949413704182</v>
      </c>
      <c r="F583">
        <f t="shared" si="34"/>
        <v>247336937.86121032</v>
      </c>
      <c r="G583">
        <f t="shared" si="35"/>
        <v>1824347.8365650971</v>
      </c>
    </row>
    <row r="584" spans="1:7" x14ac:dyDescent="0.2">
      <c r="A584" s="14">
        <v>41061</v>
      </c>
      <c r="B584" s="18">
        <v>607</v>
      </c>
      <c r="D584">
        <f t="shared" si="33"/>
        <v>607</v>
      </c>
      <c r="E584">
        <f t="shared" si="36"/>
        <v>16370.949413704182</v>
      </c>
      <c r="F584">
        <f t="shared" si="34"/>
        <v>248502101.11782444</v>
      </c>
      <c r="G584">
        <f t="shared" si="35"/>
        <v>1925667.4681440445</v>
      </c>
    </row>
    <row r="585" spans="1:7" x14ac:dyDescent="0.2">
      <c r="A585" s="14">
        <v>41091</v>
      </c>
      <c r="B585" s="18">
        <v>620</v>
      </c>
      <c r="D585">
        <f t="shared" si="33"/>
        <v>620</v>
      </c>
      <c r="E585">
        <f t="shared" si="36"/>
        <v>16370.949413704182</v>
      </c>
      <c r="F585">
        <f t="shared" si="34"/>
        <v>248092407.43306813</v>
      </c>
      <c r="G585">
        <f t="shared" si="35"/>
        <v>1889756.6786703602</v>
      </c>
    </row>
    <row r="586" spans="1:7" x14ac:dyDescent="0.2">
      <c r="A586" s="14">
        <v>41122</v>
      </c>
      <c r="B586" s="18">
        <v>605</v>
      </c>
      <c r="D586">
        <f t="shared" si="33"/>
        <v>605</v>
      </c>
      <c r="E586">
        <f t="shared" si="36"/>
        <v>16370.949413704182</v>
      </c>
      <c r="F586">
        <f t="shared" si="34"/>
        <v>248565160.91547924</v>
      </c>
      <c r="G586">
        <f t="shared" si="35"/>
        <v>1931222.2049861497</v>
      </c>
    </row>
    <row r="587" spans="1:7" x14ac:dyDescent="0.2">
      <c r="A587" s="14">
        <v>41153</v>
      </c>
      <c r="B587" s="18">
        <v>596</v>
      </c>
      <c r="D587">
        <f t="shared" si="33"/>
        <v>596</v>
      </c>
      <c r="E587">
        <f t="shared" si="36"/>
        <v>16370.949413704182</v>
      </c>
      <c r="F587">
        <f t="shared" si="34"/>
        <v>248849029.00492591</v>
      </c>
      <c r="G587">
        <f t="shared" si="35"/>
        <v>1956317.5207756234</v>
      </c>
    </row>
    <row r="588" spans="1:7" x14ac:dyDescent="0.2">
      <c r="A588" s="14">
        <v>41183</v>
      </c>
      <c r="B588" s="18">
        <v>637</v>
      </c>
      <c r="D588">
        <f t="shared" si="33"/>
        <v>637</v>
      </c>
      <c r="E588">
        <f t="shared" si="36"/>
        <v>16370.949413704182</v>
      </c>
      <c r="F588">
        <f t="shared" si="34"/>
        <v>247557164.15300217</v>
      </c>
      <c r="G588">
        <f t="shared" si="35"/>
        <v>1843306.4155124654</v>
      </c>
    </row>
    <row r="589" spans="1:7" x14ac:dyDescent="0.2">
      <c r="A589" s="14">
        <v>41214</v>
      </c>
      <c r="B589" s="18">
        <v>586</v>
      </c>
      <c r="D589">
        <f t="shared" ref="D589:D633" si="37">B589</f>
        <v>586</v>
      </c>
      <c r="E589">
        <f t="shared" si="36"/>
        <v>16370.949413704182</v>
      </c>
      <c r="F589">
        <f t="shared" ref="F589:F639" si="38">(D589-E589)^2</f>
        <v>249164627.9932</v>
      </c>
      <c r="G589">
        <f t="shared" ref="G589:G639" si="39">(D589-$G$5)^2</f>
        <v>1984391.2049861497</v>
      </c>
    </row>
    <row r="590" spans="1:7" x14ac:dyDescent="0.2">
      <c r="A590" s="14">
        <v>41244</v>
      </c>
      <c r="B590" s="18">
        <v>634</v>
      </c>
      <c r="D590">
        <f t="shared" si="37"/>
        <v>634</v>
      </c>
      <c r="E590">
        <f t="shared" si="36"/>
        <v>16370.949413704182</v>
      </c>
      <c r="F590">
        <f t="shared" si="38"/>
        <v>247651576.84948438</v>
      </c>
      <c r="G590">
        <f t="shared" si="39"/>
        <v>1851461.5207756234</v>
      </c>
    </row>
    <row r="591" spans="1:7" x14ac:dyDescent="0.2">
      <c r="A591" s="14">
        <v>41275</v>
      </c>
      <c r="B591" s="18">
        <v>718</v>
      </c>
      <c r="D591">
        <f t="shared" si="37"/>
        <v>718</v>
      </c>
      <c r="E591">
        <f t="shared" si="36"/>
        <v>16370.949413704182</v>
      </c>
      <c r="F591">
        <f t="shared" si="38"/>
        <v>245014825.34798211</v>
      </c>
      <c r="G591">
        <f t="shared" si="39"/>
        <v>1629922.5734072023</v>
      </c>
    </row>
    <row r="592" spans="1:7" x14ac:dyDescent="0.2">
      <c r="A592" s="14">
        <v>41306</v>
      </c>
      <c r="B592" s="18">
        <v>591</v>
      </c>
      <c r="D592">
        <f t="shared" si="37"/>
        <v>591</v>
      </c>
      <c r="E592">
        <f t="shared" si="36"/>
        <v>16370.949413704182</v>
      </c>
      <c r="F592">
        <f t="shared" si="38"/>
        <v>249006803.49906296</v>
      </c>
      <c r="G592">
        <f t="shared" si="39"/>
        <v>1970329.3628808865</v>
      </c>
    </row>
    <row r="593" spans="1:7" x14ac:dyDescent="0.2">
      <c r="A593" s="14">
        <v>41334</v>
      </c>
      <c r="B593" s="18">
        <v>618</v>
      </c>
      <c r="D593">
        <f t="shared" si="37"/>
        <v>618</v>
      </c>
      <c r="E593">
        <f t="shared" si="36"/>
        <v>16370.949413704182</v>
      </c>
      <c r="F593">
        <f t="shared" si="38"/>
        <v>248155415.23072293</v>
      </c>
      <c r="G593">
        <f t="shared" si="39"/>
        <v>1895259.4155124654</v>
      </c>
    </row>
    <row r="594" spans="1:7" x14ac:dyDescent="0.2">
      <c r="A594" s="14">
        <v>41365</v>
      </c>
      <c r="B594" s="18">
        <v>619</v>
      </c>
      <c r="D594">
        <f t="shared" si="37"/>
        <v>619</v>
      </c>
      <c r="E594">
        <f t="shared" si="36"/>
        <v>16370.949413704182</v>
      </c>
      <c r="F594">
        <f t="shared" si="38"/>
        <v>248123910.33189553</v>
      </c>
      <c r="G594">
        <f t="shared" si="39"/>
        <v>1892507.0470914128</v>
      </c>
    </row>
    <row r="595" spans="1:7" x14ac:dyDescent="0.2">
      <c r="A595" s="14">
        <v>41395</v>
      </c>
      <c r="B595" s="18">
        <v>647</v>
      </c>
      <c r="D595">
        <f t="shared" si="37"/>
        <v>647</v>
      </c>
      <c r="E595">
        <f t="shared" si="36"/>
        <v>16370.949413704182</v>
      </c>
      <c r="F595">
        <f t="shared" si="38"/>
        <v>247242585.16472808</v>
      </c>
      <c r="G595">
        <f t="shared" si="39"/>
        <v>1816252.7313019391</v>
      </c>
    </row>
    <row r="596" spans="1:7" x14ac:dyDescent="0.2">
      <c r="A596" s="14">
        <v>41426</v>
      </c>
      <c r="B596" s="18">
        <v>618</v>
      </c>
      <c r="D596">
        <f t="shared" si="37"/>
        <v>618</v>
      </c>
      <c r="E596">
        <f t="shared" si="36"/>
        <v>16370.949413704182</v>
      </c>
      <c r="F596">
        <f t="shared" si="38"/>
        <v>248155415.23072293</v>
      </c>
      <c r="G596">
        <f t="shared" si="39"/>
        <v>1895259.4155124654</v>
      </c>
    </row>
    <row r="597" spans="1:7" x14ac:dyDescent="0.2">
      <c r="A597" s="14">
        <v>41456</v>
      </c>
      <c r="B597" s="18">
        <v>594</v>
      </c>
      <c r="D597">
        <f t="shared" si="37"/>
        <v>594</v>
      </c>
      <c r="E597">
        <f t="shared" si="36"/>
        <v>16370.949413704182</v>
      </c>
      <c r="F597">
        <f t="shared" si="38"/>
        <v>248912132.80258074</v>
      </c>
      <c r="G597">
        <f t="shared" si="39"/>
        <v>1961916.2576177286</v>
      </c>
    </row>
    <row r="598" spans="1:7" x14ac:dyDescent="0.2">
      <c r="A598" s="14">
        <v>41487</v>
      </c>
      <c r="B598" s="18">
        <v>550</v>
      </c>
      <c r="D598">
        <f t="shared" si="37"/>
        <v>550</v>
      </c>
      <c r="E598">
        <f t="shared" si="36"/>
        <v>16370.949413704182</v>
      </c>
      <c r="F598">
        <f t="shared" si="38"/>
        <v>250302440.35098669</v>
      </c>
      <c r="G598">
        <f t="shared" si="39"/>
        <v>2087112.4681440445</v>
      </c>
    </row>
    <row r="599" spans="1:7" x14ac:dyDescent="0.2">
      <c r="A599" s="14">
        <v>41518</v>
      </c>
      <c r="B599" s="18">
        <v>498</v>
      </c>
      <c r="D599">
        <f t="shared" si="37"/>
        <v>498</v>
      </c>
      <c r="E599">
        <f t="shared" si="36"/>
        <v>16370.949413704182</v>
      </c>
      <c r="F599">
        <f t="shared" si="38"/>
        <v>251950523.09001192</v>
      </c>
      <c r="G599">
        <f t="shared" si="39"/>
        <v>2240063.6260387814</v>
      </c>
    </row>
    <row r="600" spans="1:7" x14ac:dyDescent="0.2">
      <c r="A600" s="14">
        <v>41548</v>
      </c>
      <c r="B600" s="18">
        <v>265</v>
      </c>
      <c r="D600">
        <f t="shared" si="37"/>
        <v>265</v>
      </c>
      <c r="E600">
        <f t="shared" si="36"/>
        <v>16370.949413704182</v>
      </c>
      <c r="F600">
        <f t="shared" si="38"/>
        <v>259401606.51679808</v>
      </c>
      <c r="G600">
        <f t="shared" si="39"/>
        <v>2991807.4681440443</v>
      </c>
    </row>
    <row r="601" spans="1:7" x14ac:dyDescent="0.2">
      <c r="A601" s="14">
        <v>41579</v>
      </c>
      <c r="B601" s="18">
        <v>147</v>
      </c>
      <c r="D601">
        <f t="shared" si="37"/>
        <v>147</v>
      </c>
      <c r="E601">
        <f t="shared" si="36"/>
        <v>16370.949413704182</v>
      </c>
      <c r="F601">
        <f t="shared" si="38"/>
        <v>263216534.57843226</v>
      </c>
      <c r="G601">
        <f t="shared" si="39"/>
        <v>3413936.9418282551</v>
      </c>
    </row>
    <row r="602" spans="1:7" x14ac:dyDescent="0.2">
      <c r="A602" s="14">
        <v>41609</v>
      </c>
      <c r="B602" s="18">
        <v>214</v>
      </c>
      <c r="D602">
        <f t="shared" si="37"/>
        <v>214</v>
      </c>
      <c r="E602">
        <f t="shared" si="36"/>
        <v>16370.949413704182</v>
      </c>
      <c r="F602">
        <f t="shared" si="38"/>
        <v>261047014.35699591</v>
      </c>
      <c r="G602">
        <f t="shared" si="39"/>
        <v>3170836.2576177288</v>
      </c>
    </row>
    <row r="603" spans="1:7" x14ac:dyDescent="0.2">
      <c r="A603" s="14">
        <v>41640</v>
      </c>
      <c r="B603" s="18">
        <v>139</v>
      </c>
      <c r="D603">
        <f t="shared" si="37"/>
        <v>139</v>
      </c>
      <c r="E603">
        <f t="shared" si="36"/>
        <v>16370.949413704182</v>
      </c>
      <c r="F603">
        <f t="shared" si="38"/>
        <v>263476181.76905155</v>
      </c>
      <c r="G603">
        <f t="shared" si="39"/>
        <v>3443563.8891966762</v>
      </c>
    </row>
    <row r="604" spans="1:7" x14ac:dyDescent="0.2">
      <c r="A604" s="14">
        <v>41671</v>
      </c>
      <c r="B604" s="18">
        <v>122</v>
      </c>
      <c r="D604">
        <f t="shared" si="37"/>
        <v>122</v>
      </c>
      <c r="E604">
        <f t="shared" si="36"/>
        <v>16370.949413704182</v>
      </c>
      <c r="F604">
        <f t="shared" si="38"/>
        <v>264028357.04911748</v>
      </c>
      <c r="G604">
        <f t="shared" si="39"/>
        <v>3506946.152354571</v>
      </c>
    </row>
    <row r="605" spans="1:7" x14ac:dyDescent="0.2">
      <c r="A605" s="17">
        <v>41699</v>
      </c>
      <c r="B605" s="18">
        <v>94</v>
      </c>
      <c r="D605">
        <f t="shared" si="37"/>
        <v>94</v>
      </c>
      <c r="E605">
        <f t="shared" si="36"/>
        <v>16370.949413704182</v>
      </c>
      <c r="F605">
        <f t="shared" si="38"/>
        <v>264939082.2162849</v>
      </c>
      <c r="G605">
        <f t="shared" si="39"/>
        <v>3612600.4681440443</v>
      </c>
    </row>
    <row r="606" spans="1:7" x14ac:dyDescent="0.2">
      <c r="A606" s="17">
        <v>41730</v>
      </c>
      <c r="B606" s="18">
        <v>135</v>
      </c>
      <c r="D606">
        <f t="shared" si="37"/>
        <v>135</v>
      </c>
      <c r="E606">
        <f t="shared" si="36"/>
        <v>16370.949413704182</v>
      </c>
      <c r="F606">
        <f t="shared" si="38"/>
        <v>263606053.36436117</v>
      </c>
      <c r="G606">
        <f t="shared" si="39"/>
        <v>3458425.3628808865</v>
      </c>
    </row>
    <row r="607" spans="1:7" x14ac:dyDescent="0.2">
      <c r="A607" s="17">
        <v>41760</v>
      </c>
      <c r="B607" s="18">
        <v>121</v>
      </c>
      <c r="D607">
        <f t="shared" si="37"/>
        <v>121</v>
      </c>
      <c r="E607">
        <f t="shared" si="36"/>
        <v>16370.949413704182</v>
      </c>
      <c r="F607">
        <f t="shared" si="38"/>
        <v>264060855.94794488</v>
      </c>
      <c r="G607">
        <f t="shared" si="39"/>
        <v>3510692.5207756236</v>
      </c>
    </row>
    <row r="608" spans="1:7" x14ac:dyDescent="0.2">
      <c r="A608" s="17">
        <v>41791</v>
      </c>
      <c r="B608" s="18">
        <v>120</v>
      </c>
      <c r="D608">
        <f t="shared" si="37"/>
        <v>120</v>
      </c>
      <c r="E608">
        <f t="shared" si="36"/>
        <v>16370.949413704182</v>
      </c>
      <c r="F608">
        <f t="shared" si="38"/>
        <v>264093356.84677228</v>
      </c>
      <c r="G608">
        <f t="shared" si="39"/>
        <v>3514440.8891966762</v>
      </c>
    </row>
    <row r="609" spans="1:7" x14ac:dyDescent="0.2">
      <c r="A609" s="17">
        <v>41821</v>
      </c>
      <c r="B609" s="18">
        <v>120</v>
      </c>
      <c r="D609">
        <f t="shared" si="37"/>
        <v>120</v>
      </c>
      <c r="E609">
        <f t="shared" si="36"/>
        <v>16370.949413704182</v>
      </c>
      <c r="F609">
        <f t="shared" si="38"/>
        <v>264093356.84677228</v>
      </c>
      <c r="G609">
        <f t="shared" si="39"/>
        <v>3514440.8891966762</v>
      </c>
    </row>
    <row r="610" spans="1:7" x14ac:dyDescent="0.2">
      <c r="A610" s="17">
        <v>41852</v>
      </c>
      <c r="B610" s="18">
        <v>112</v>
      </c>
      <c r="D610">
        <f t="shared" si="37"/>
        <v>112</v>
      </c>
      <c r="E610">
        <f t="shared" si="36"/>
        <v>16370.949413704182</v>
      </c>
      <c r="F610">
        <f t="shared" si="38"/>
        <v>264353436.03739157</v>
      </c>
      <c r="G610">
        <f t="shared" si="39"/>
        <v>3544499.8365650973</v>
      </c>
    </row>
    <row r="611" spans="1:7" x14ac:dyDescent="0.2">
      <c r="A611" s="17">
        <v>41883</v>
      </c>
      <c r="B611" s="18">
        <v>108</v>
      </c>
      <c r="D611">
        <f t="shared" si="37"/>
        <v>108</v>
      </c>
      <c r="E611">
        <f t="shared" si="36"/>
        <v>16370.949413704182</v>
      </c>
      <c r="F611">
        <f t="shared" si="38"/>
        <v>264483523.63270119</v>
      </c>
      <c r="G611">
        <f t="shared" si="39"/>
        <v>3559577.3102493077</v>
      </c>
    </row>
    <row r="612" spans="1:7" x14ac:dyDescent="0.2">
      <c r="A612" s="17">
        <v>41913</v>
      </c>
      <c r="B612" s="18">
        <v>105</v>
      </c>
      <c r="D612">
        <f t="shared" si="37"/>
        <v>105</v>
      </c>
      <c r="E612">
        <f t="shared" si="36"/>
        <v>16370.949413704182</v>
      </c>
      <c r="F612">
        <f t="shared" si="38"/>
        <v>264581110.32918343</v>
      </c>
      <c r="G612">
        <f t="shared" si="39"/>
        <v>3570906.4155124654</v>
      </c>
    </row>
    <row r="613" spans="1:7" x14ac:dyDescent="0.2">
      <c r="A613" s="17">
        <v>41944</v>
      </c>
      <c r="B613" s="18">
        <v>96</v>
      </c>
      <c r="D613">
        <f t="shared" si="37"/>
        <v>96</v>
      </c>
      <c r="E613">
        <f t="shared" si="36"/>
        <v>16370.949413704182</v>
      </c>
      <c r="F613">
        <f t="shared" si="38"/>
        <v>264873978.41863009</v>
      </c>
      <c r="G613">
        <f t="shared" si="39"/>
        <v>3605001.7313019391</v>
      </c>
    </row>
    <row r="614" spans="1:7" x14ac:dyDescent="0.2">
      <c r="A614" s="17">
        <v>41974</v>
      </c>
      <c r="B614" s="18">
        <v>100</v>
      </c>
      <c r="D614">
        <f t="shared" si="37"/>
        <v>100</v>
      </c>
      <c r="E614">
        <f t="shared" si="36"/>
        <v>16370.949413704182</v>
      </c>
      <c r="F614">
        <f t="shared" si="38"/>
        <v>264743794.82332048</v>
      </c>
      <c r="G614">
        <f t="shared" si="39"/>
        <v>3589828.2576177288</v>
      </c>
    </row>
    <row r="615" spans="1:7" x14ac:dyDescent="0.2">
      <c r="A615" s="17">
        <v>42005</v>
      </c>
      <c r="B615" s="18">
        <v>156</v>
      </c>
      <c r="D615">
        <f t="shared" si="37"/>
        <v>156</v>
      </c>
      <c r="E615">
        <f t="shared" si="36"/>
        <v>16370.949413704182</v>
      </c>
      <c r="F615">
        <f t="shared" si="38"/>
        <v>262924584.4889856</v>
      </c>
      <c r="G615">
        <f t="shared" si="39"/>
        <v>3380759.6260387814</v>
      </c>
    </row>
    <row r="616" spans="1:7" x14ac:dyDescent="0.2">
      <c r="A616" s="17">
        <v>42036</v>
      </c>
      <c r="B616" s="18">
        <v>65</v>
      </c>
      <c r="D616">
        <f t="shared" si="37"/>
        <v>65</v>
      </c>
      <c r="E616">
        <f t="shared" si="36"/>
        <v>16370.949413704182</v>
      </c>
      <c r="F616">
        <f t="shared" si="38"/>
        <v>265883986.28227976</v>
      </c>
      <c r="G616">
        <f t="shared" si="39"/>
        <v>3723681.152354571</v>
      </c>
    </row>
    <row r="617" spans="1:7" x14ac:dyDescent="0.2">
      <c r="A617" s="17">
        <v>42064</v>
      </c>
      <c r="B617" s="18">
        <v>82</v>
      </c>
      <c r="D617">
        <f t="shared" si="37"/>
        <v>82</v>
      </c>
      <c r="E617">
        <f t="shared" si="36"/>
        <v>16370.949413704182</v>
      </c>
      <c r="F617">
        <f t="shared" si="38"/>
        <v>265329873.00221381</v>
      </c>
      <c r="G617">
        <f t="shared" si="39"/>
        <v>3658360.8891966762</v>
      </c>
    </row>
    <row r="618" spans="1:7" x14ac:dyDescent="0.2">
      <c r="A618" s="17">
        <v>42095</v>
      </c>
      <c r="B618" s="18">
        <v>78</v>
      </c>
      <c r="D618">
        <f t="shared" si="37"/>
        <v>78</v>
      </c>
      <c r="E618">
        <f t="shared" si="36"/>
        <v>16370.949413704182</v>
      </c>
      <c r="F618">
        <f t="shared" si="38"/>
        <v>265460200.59752345</v>
      </c>
      <c r="G618">
        <f t="shared" si="39"/>
        <v>3673678.3628808865</v>
      </c>
    </row>
    <row r="619" spans="1:7" x14ac:dyDescent="0.2">
      <c r="A619" s="17">
        <v>42125</v>
      </c>
      <c r="B619" s="18">
        <v>62</v>
      </c>
      <c r="D619">
        <f t="shared" si="37"/>
        <v>62</v>
      </c>
      <c r="E619">
        <f t="shared" si="36"/>
        <v>16370.949413704182</v>
      </c>
      <c r="F619">
        <f t="shared" si="38"/>
        <v>265981830.97876197</v>
      </c>
      <c r="G619">
        <f t="shared" si="39"/>
        <v>3735268.2576177288</v>
      </c>
    </row>
    <row r="620" spans="1:7" x14ac:dyDescent="0.2">
      <c r="A620" s="17">
        <v>42156</v>
      </c>
      <c r="B620" s="18">
        <v>77</v>
      </c>
      <c r="D620">
        <f t="shared" si="37"/>
        <v>77</v>
      </c>
      <c r="E620">
        <f t="shared" ref="E620:E639" si="40">$E$5/(1+$D$5*C620)</f>
        <v>16370.949413704182</v>
      </c>
      <c r="F620">
        <f t="shared" si="38"/>
        <v>265492787.49635085</v>
      </c>
      <c r="G620">
        <f t="shared" si="39"/>
        <v>3677512.7313019391</v>
      </c>
    </row>
    <row r="621" spans="1:7" x14ac:dyDescent="0.2">
      <c r="A621" s="17">
        <v>42186</v>
      </c>
      <c r="B621" s="18">
        <v>55</v>
      </c>
      <c r="D621">
        <f t="shared" si="37"/>
        <v>55</v>
      </c>
      <c r="E621">
        <f t="shared" si="40"/>
        <v>16370.949413704182</v>
      </c>
      <c r="F621">
        <f t="shared" si="38"/>
        <v>266210205.27055383</v>
      </c>
      <c r="G621">
        <f t="shared" si="39"/>
        <v>3762374.8365650973</v>
      </c>
    </row>
    <row r="622" spans="1:7" x14ac:dyDescent="0.2">
      <c r="A622" s="17">
        <v>42217</v>
      </c>
      <c r="B622" s="18">
        <v>66</v>
      </c>
      <c r="D622">
        <f t="shared" si="37"/>
        <v>66</v>
      </c>
      <c r="E622">
        <f t="shared" si="40"/>
        <v>16370.949413704182</v>
      </c>
      <c r="F622">
        <f t="shared" si="38"/>
        <v>265851375.38345236</v>
      </c>
      <c r="G622">
        <f t="shared" si="39"/>
        <v>3719822.783933518</v>
      </c>
    </row>
    <row r="623" spans="1:7" x14ac:dyDescent="0.2">
      <c r="A623" s="17">
        <v>42248</v>
      </c>
      <c r="B623" s="18">
        <v>77</v>
      </c>
      <c r="D623">
        <f t="shared" si="37"/>
        <v>77</v>
      </c>
      <c r="E623">
        <f t="shared" si="40"/>
        <v>16370.949413704182</v>
      </c>
      <c r="F623">
        <f t="shared" si="38"/>
        <v>265492787.49635085</v>
      </c>
      <c r="G623">
        <f t="shared" si="39"/>
        <v>3677512.7313019391</v>
      </c>
    </row>
    <row r="624" spans="1:7" x14ac:dyDescent="0.2">
      <c r="A624" s="17">
        <v>42278</v>
      </c>
      <c r="B624" s="18">
        <v>73</v>
      </c>
      <c r="D624">
        <f t="shared" si="37"/>
        <v>73</v>
      </c>
      <c r="E624">
        <f t="shared" si="40"/>
        <v>16370.949413704182</v>
      </c>
      <c r="F624">
        <f t="shared" si="38"/>
        <v>265623155.0916605</v>
      </c>
      <c r="G624">
        <f t="shared" si="39"/>
        <v>3692870.2049861499</v>
      </c>
    </row>
    <row r="625" spans="1:7" x14ac:dyDescent="0.2">
      <c r="A625" s="17">
        <v>42309</v>
      </c>
      <c r="B625" s="18">
        <v>49</v>
      </c>
      <c r="D625">
        <f t="shared" si="37"/>
        <v>49</v>
      </c>
      <c r="E625">
        <f t="shared" si="40"/>
        <v>16370.949413704182</v>
      </c>
      <c r="F625">
        <f t="shared" si="38"/>
        <v>266406032.66351828</v>
      </c>
      <c r="G625">
        <f t="shared" si="39"/>
        <v>3785687.0470914128</v>
      </c>
    </row>
    <row r="626" spans="1:7" x14ac:dyDescent="0.2">
      <c r="A626" s="17">
        <v>42339</v>
      </c>
      <c r="B626" s="18">
        <v>51</v>
      </c>
      <c r="D626">
        <f t="shared" si="37"/>
        <v>51</v>
      </c>
      <c r="E626">
        <f t="shared" si="40"/>
        <v>16370.949413704182</v>
      </c>
      <c r="F626">
        <f t="shared" si="38"/>
        <v>266340748.86586347</v>
      </c>
      <c r="G626">
        <f t="shared" si="39"/>
        <v>3777908.3102493077</v>
      </c>
    </row>
    <row r="627" spans="1:7" x14ac:dyDescent="0.2">
      <c r="A627" s="17">
        <v>42370</v>
      </c>
      <c r="B627" s="18">
        <v>77</v>
      </c>
      <c r="D627">
        <f t="shared" si="37"/>
        <v>77</v>
      </c>
      <c r="E627">
        <f t="shared" si="40"/>
        <v>16370.949413704182</v>
      </c>
      <c r="F627">
        <f t="shared" si="38"/>
        <v>265492787.49635085</v>
      </c>
      <c r="G627">
        <f t="shared" si="39"/>
        <v>3677512.7313019391</v>
      </c>
    </row>
    <row r="628" spans="1:7" x14ac:dyDescent="0.2">
      <c r="A628" s="17">
        <v>42401</v>
      </c>
      <c r="B628" s="18">
        <v>53</v>
      </c>
      <c r="D628">
        <f t="shared" si="37"/>
        <v>53</v>
      </c>
      <c r="E628">
        <f t="shared" si="40"/>
        <v>16370.949413704182</v>
      </c>
      <c r="F628">
        <f t="shared" si="38"/>
        <v>266275473.06820866</v>
      </c>
      <c r="G628">
        <f t="shared" si="39"/>
        <v>3770137.5734072025</v>
      </c>
    </row>
    <row r="629" spans="1:7" x14ac:dyDescent="0.2">
      <c r="A629" s="17">
        <v>42430</v>
      </c>
      <c r="B629" s="18">
        <v>54</v>
      </c>
      <c r="D629">
        <f t="shared" si="37"/>
        <v>54</v>
      </c>
      <c r="E629">
        <f t="shared" si="40"/>
        <v>16370.949413704182</v>
      </c>
      <c r="F629">
        <f t="shared" si="38"/>
        <v>266242838.16938126</v>
      </c>
      <c r="G629">
        <f t="shared" si="39"/>
        <v>3766255.2049861499</v>
      </c>
    </row>
    <row r="630" spans="1:7" x14ac:dyDescent="0.2">
      <c r="A630" s="17">
        <v>42461</v>
      </c>
      <c r="B630" s="18">
        <v>43</v>
      </c>
      <c r="D630">
        <f t="shared" si="37"/>
        <v>43</v>
      </c>
      <c r="E630">
        <f t="shared" si="40"/>
        <v>16370.949413704182</v>
      </c>
      <c r="F630">
        <f t="shared" si="38"/>
        <v>266601932.05648273</v>
      </c>
      <c r="G630">
        <f t="shared" si="39"/>
        <v>3809071.2576177288</v>
      </c>
    </row>
    <row r="631" spans="1:7" x14ac:dyDescent="0.2">
      <c r="A631" s="17">
        <v>42491</v>
      </c>
      <c r="B631" s="18">
        <v>60</v>
      </c>
      <c r="D631">
        <f t="shared" si="37"/>
        <v>60</v>
      </c>
      <c r="E631">
        <f t="shared" si="40"/>
        <v>16370.949413704182</v>
      </c>
      <c r="F631">
        <f t="shared" si="38"/>
        <v>266047070.77641681</v>
      </c>
      <c r="G631">
        <f t="shared" si="39"/>
        <v>3743002.9944598339</v>
      </c>
    </row>
    <row r="632" spans="1:7" x14ac:dyDescent="0.2">
      <c r="A632" s="17">
        <v>42522</v>
      </c>
      <c r="B632" s="18">
        <v>57</v>
      </c>
      <c r="D632">
        <f t="shared" si="37"/>
        <v>57</v>
      </c>
      <c r="E632">
        <f t="shared" si="40"/>
        <v>16370.949413704182</v>
      </c>
      <c r="F632">
        <f t="shared" si="38"/>
        <v>266144945.47289902</v>
      </c>
      <c r="G632">
        <f t="shared" si="39"/>
        <v>3754620.0997229917</v>
      </c>
    </row>
    <row r="633" spans="1:7" x14ac:dyDescent="0.2">
      <c r="A633" s="17">
        <v>42552</v>
      </c>
      <c r="B633" s="18">
        <v>56</v>
      </c>
      <c r="D633">
        <f t="shared" si="37"/>
        <v>56</v>
      </c>
      <c r="E633">
        <f t="shared" si="40"/>
        <v>16370.949413704182</v>
      </c>
      <c r="F633">
        <f t="shared" si="38"/>
        <v>266177574.37172642</v>
      </c>
      <c r="G633">
        <f t="shared" si="39"/>
        <v>3758496.4681440443</v>
      </c>
    </row>
    <row r="634" spans="1:7" x14ac:dyDescent="0.2">
      <c r="A634" s="17">
        <v>42583</v>
      </c>
      <c r="B634" s="18">
        <v>162</v>
      </c>
      <c r="D634">
        <f t="shared" ref="D634:D639" si="41">B634</f>
        <v>162</v>
      </c>
      <c r="E634">
        <f t="shared" si="40"/>
        <v>16370.949413704182</v>
      </c>
      <c r="F634">
        <f t="shared" si="38"/>
        <v>262730041.09602115</v>
      </c>
      <c r="G634">
        <f t="shared" si="39"/>
        <v>3358731.4155124654</v>
      </c>
    </row>
    <row r="635" spans="1:7" x14ac:dyDescent="0.2">
      <c r="A635" s="17">
        <v>42614</v>
      </c>
      <c r="B635" s="18">
        <v>157</v>
      </c>
      <c r="D635">
        <f t="shared" si="41"/>
        <v>157</v>
      </c>
      <c r="E635">
        <f t="shared" si="40"/>
        <v>16370.949413704182</v>
      </c>
      <c r="F635">
        <f t="shared" si="38"/>
        <v>262892155.59015819</v>
      </c>
      <c r="G635">
        <f t="shared" si="39"/>
        <v>3377083.2576177288</v>
      </c>
    </row>
    <row r="636" spans="1:7" x14ac:dyDescent="0.2">
      <c r="A636" s="17">
        <v>42644</v>
      </c>
      <c r="B636" s="18">
        <v>212</v>
      </c>
      <c r="D636">
        <f t="shared" si="41"/>
        <v>212</v>
      </c>
      <c r="E636">
        <f t="shared" si="40"/>
        <v>16370.949413704182</v>
      </c>
      <c r="F636">
        <f t="shared" si="38"/>
        <v>261111646.15465072</v>
      </c>
      <c r="G636">
        <f t="shared" si="39"/>
        <v>3177962.9944598339</v>
      </c>
    </row>
    <row r="637" spans="1:7" x14ac:dyDescent="0.2">
      <c r="A637" s="17">
        <v>42675</v>
      </c>
      <c r="B637" s="18">
        <v>103</v>
      </c>
      <c r="D637">
        <f t="shared" si="41"/>
        <v>103</v>
      </c>
      <c r="E637">
        <f t="shared" si="40"/>
        <v>16370.949413704182</v>
      </c>
      <c r="F637">
        <f t="shared" si="38"/>
        <v>264646178.12683824</v>
      </c>
      <c r="G637">
        <f t="shared" si="39"/>
        <v>3578469.152354571</v>
      </c>
    </row>
    <row r="638" spans="1:7" x14ac:dyDescent="0.2">
      <c r="A638" s="17">
        <v>42705</v>
      </c>
      <c r="B638" s="18">
        <v>44</v>
      </c>
      <c r="D638">
        <f t="shared" si="41"/>
        <v>44</v>
      </c>
      <c r="E638">
        <f t="shared" si="40"/>
        <v>16370.949413704182</v>
      </c>
      <c r="F638">
        <f t="shared" si="38"/>
        <v>266569277.15765533</v>
      </c>
      <c r="G638">
        <f t="shared" si="39"/>
        <v>3805168.8891966762</v>
      </c>
    </row>
    <row r="639" spans="1:7" x14ac:dyDescent="0.2">
      <c r="A639" s="17">
        <v>42736</v>
      </c>
      <c r="B639" s="18">
        <v>454</v>
      </c>
      <c r="D639">
        <f t="shared" si="41"/>
        <v>454</v>
      </c>
      <c r="E639">
        <f t="shared" si="40"/>
        <v>16370.949413704182</v>
      </c>
      <c r="F639">
        <f t="shared" si="38"/>
        <v>253349278.6384179</v>
      </c>
      <c r="G639">
        <f t="shared" si="39"/>
        <v>2373707.8365650973</v>
      </c>
    </row>
  </sheetData>
  <pageMargins left="0.7" right="0.7" top="0.75" bottom="0.75" header="0.3" footer="0.3"/>
  <pageSetup orientation="portrait" horizontalDpi="4294967294" r:id="rId1"/>
  <drawing r:id="rId2"/>
  <legacyDrawing r:id="rId3"/>
  <oleObjects>
    <mc:AlternateContent xmlns:mc="http://schemas.openxmlformats.org/markup-compatibility/2006">
      <mc:Choice Requires="x14">
        <oleObject progId="Equation.3" shapeId="1028" r:id="rId4">
          <objectPr defaultSize="0" autoPict="0" r:id="rId5">
            <anchor moveWithCells="1" sizeWithCells="1">
              <from>
                <xdr:col>6</xdr:col>
                <xdr:colOff>12700</xdr:colOff>
                <xdr:row>0</xdr:row>
                <xdr:rowOff>165100</xdr:rowOff>
              </from>
              <to>
                <xdr:col>6</xdr:col>
                <xdr:colOff>800100</xdr:colOff>
                <xdr:row>2</xdr:row>
                <xdr:rowOff>12700</xdr:rowOff>
              </to>
            </anchor>
          </objectPr>
        </oleObject>
      </mc:Choice>
      <mc:Fallback>
        <oleObject progId="Equation.3" shapeId="1028" r:id="rId4"/>
      </mc:Fallback>
    </mc:AlternateContent>
  </oleObjects>
  <mc:AlternateContent xmlns:mc="http://schemas.openxmlformats.org/markup-compatibility/2006">
    <mc:Choice Requires="x14">
      <controls>
        <mc:AlternateContent xmlns:mc="http://schemas.openxmlformats.org/markup-compatibility/2006">
          <mc:Choice Requires="x14">
            <control shapeId="1036" r:id="rId6" name="Button 12">
              <controlPr defaultSize="0" print="0" autoFill="0" autoPict="0" macro="[0]!DisplayChart">
                <anchor moveWithCells="1" sizeWithCells="1">
                  <from>
                    <xdr:col>9</xdr:col>
                    <xdr:colOff>431800</xdr:colOff>
                    <xdr:row>1</xdr:row>
                    <xdr:rowOff>215900</xdr:rowOff>
                  </from>
                  <to>
                    <xdr:col>11</xdr:col>
                    <xdr:colOff>431800</xdr:colOff>
                    <xdr:row>2</xdr:row>
                    <xdr:rowOff>304800</xdr:rowOff>
                  </to>
                </anchor>
              </controlPr>
            </control>
          </mc:Choice>
          <mc:Fallback/>
        </mc:AlternateContent>
        <mc:AlternateContent xmlns:mc="http://schemas.openxmlformats.org/markup-compatibility/2006">
          <mc:Choice Requires="x14">
            <control shapeId="1037" r:id="rId7" name="Button 13">
              <controlPr defaultSize="0" print="0" autoFill="0" autoPict="0" macro="[0]!Module1.Rsquare">
                <anchor moveWithCells="1" sizeWithCells="1">
                  <from>
                    <xdr:col>9</xdr:col>
                    <xdr:colOff>482600</xdr:colOff>
                    <xdr:row>2</xdr:row>
                    <xdr:rowOff>431800</xdr:rowOff>
                  </from>
                  <to>
                    <xdr:col>11</xdr:col>
                    <xdr:colOff>419100</xdr:colOff>
                    <xdr:row>3</xdr:row>
                    <xdr:rowOff>190500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Harmonic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2017-07-23T20:58:32Z</dcterms:created>
  <dcterms:modified xsi:type="dcterms:W3CDTF">2020-12-17T06:02:48Z</dcterms:modified>
</cp:coreProperties>
</file>